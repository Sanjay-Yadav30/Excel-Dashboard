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njay\Desktop\"/>
    </mc:Choice>
  </mc:AlternateContent>
  <xr:revisionPtr revIDLastSave="0" documentId="13_ncr:1_{8C45949E-6807-46C6-ABB2-7396A04ED3DE}" xr6:coauthVersionLast="47" xr6:coauthVersionMax="47" xr10:uidLastSave="{00000000-0000-0000-0000-000000000000}"/>
  <bookViews>
    <workbookView xWindow="-120" yWindow="-120" windowWidth="20730" windowHeight="11160" activeTab="2" xr2:uid="{00000000-000D-0000-FFFF-FFFF00000000}"/>
  </bookViews>
  <sheets>
    <sheet name="Orders" sheetId="6" r:id="rId1"/>
    <sheet name="Orders Answers" sheetId="11" r:id="rId2"/>
    <sheet name="Orders Dashboard" sheetId="12" r:id="rId3"/>
  </sheets>
  <definedNames>
    <definedName name="Slicer_Agent_Handled">#REF!</definedName>
    <definedName name="Slicer_Contact_Type">#REF!</definedName>
    <definedName name="Slicer_Days__Contact_Date">#REF!</definedName>
    <definedName name="Slicer_Order_Type">#N/A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M8" i="6" l="1"/>
  <c r="M7" i="6"/>
  <c r="M6" i="6"/>
  <c r="M5"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I795" i="6" l="1"/>
  <c r="J795" i="6" s="1"/>
  <c r="I794" i="6"/>
  <c r="J794" i="6" s="1"/>
  <c r="I793" i="6"/>
  <c r="J793" i="6" s="1"/>
  <c r="I792" i="6"/>
  <c r="J792" i="6" s="1"/>
  <c r="I791" i="6"/>
  <c r="J791" i="6" s="1"/>
  <c r="I790" i="6"/>
  <c r="J790" i="6" s="1"/>
  <c r="I789" i="6"/>
  <c r="J789" i="6" s="1"/>
  <c r="I788" i="6"/>
  <c r="J788" i="6" s="1"/>
  <c r="I787" i="6"/>
  <c r="J787" i="6" s="1"/>
  <c r="I786" i="6"/>
  <c r="J786" i="6" s="1"/>
  <c r="I785" i="6"/>
  <c r="J785" i="6" s="1"/>
  <c r="I784" i="6"/>
  <c r="J784" i="6" s="1"/>
  <c r="I783" i="6"/>
  <c r="J783" i="6" s="1"/>
  <c r="I782" i="6"/>
  <c r="J782" i="6" s="1"/>
  <c r="I781" i="6"/>
  <c r="J781" i="6" s="1"/>
  <c r="I780" i="6"/>
  <c r="J780" i="6" s="1"/>
  <c r="I779" i="6"/>
  <c r="J779" i="6" s="1"/>
  <c r="I778" i="6"/>
  <c r="J778" i="6" s="1"/>
  <c r="I777" i="6"/>
  <c r="J777" i="6" s="1"/>
  <c r="I776" i="6"/>
  <c r="J776" i="6" s="1"/>
  <c r="I775" i="6"/>
  <c r="J775" i="6" s="1"/>
  <c r="I774" i="6"/>
  <c r="J774" i="6" s="1"/>
  <c r="I773" i="6"/>
  <c r="J773" i="6" s="1"/>
  <c r="I772" i="6"/>
  <c r="J772" i="6" s="1"/>
  <c r="I771" i="6"/>
  <c r="J771" i="6" s="1"/>
  <c r="I770" i="6"/>
  <c r="J770" i="6" s="1"/>
  <c r="I769" i="6"/>
  <c r="J769" i="6" s="1"/>
  <c r="I768" i="6"/>
  <c r="J768" i="6" s="1"/>
  <c r="I767" i="6"/>
  <c r="J767" i="6" s="1"/>
  <c r="I766" i="6"/>
  <c r="J766" i="6" s="1"/>
  <c r="I765" i="6"/>
  <c r="J765" i="6" s="1"/>
  <c r="I764" i="6"/>
  <c r="J764" i="6" s="1"/>
  <c r="I763" i="6"/>
  <c r="J763" i="6" s="1"/>
  <c r="I762" i="6"/>
  <c r="J762" i="6" s="1"/>
  <c r="I761" i="6"/>
  <c r="J761" i="6" s="1"/>
  <c r="I760" i="6"/>
  <c r="J760" i="6" s="1"/>
  <c r="I759" i="6"/>
  <c r="J759" i="6" s="1"/>
  <c r="I758" i="6"/>
  <c r="J758" i="6" s="1"/>
  <c r="I757" i="6"/>
  <c r="J757" i="6" s="1"/>
  <c r="I756" i="6"/>
  <c r="J756" i="6" s="1"/>
  <c r="I755" i="6"/>
  <c r="J755" i="6" s="1"/>
  <c r="I754" i="6"/>
  <c r="J754" i="6" s="1"/>
  <c r="I753" i="6"/>
  <c r="J753" i="6" s="1"/>
  <c r="I752" i="6"/>
  <c r="J752" i="6" s="1"/>
  <c r="I751" i="6"/>
  <c r="J751" i="6" s="1"/>
  <c r="I750" i="6"/>
  <c r="J750" i="6" s="1"/>
  <c r="I749" i="6"/>
  <c r="J749" i="6" s="1"/>
  <c r="I748" i="6"/>
  <c r="J748" i="6" s="1"/>
  <c r="I747" i="6"/>
  <c r="J747" i="6" s="1"/>
  <c r="I746" i="6"/>
  <c r="J746" i="6" s="1"/>
  <c r="I745" i="6"/>
  <c r="J745" i="6" s="1"/>
  <c r="I744" i="6"/>
  <c r="J744" i="6" s="1"/>
  <c r="I743" i="6"/>
  <c r="J743" i="6" s="1"/>
  <c r="I742" i="6"/>
  <c r="J742" i="6" s="1"/>
  <c r="I741" i="6"/>
  <c r="J741" i="6" s="1"/>
  <c r="I740" i="6"/>
  <c r="J740" i="6" s="1"/>
  <c r="I739" i="6"/>
  <c r="J739" i="6" s="1"/>
  <c r="I738" i="6"/>
  <c r="J738" i="6" s="1"/>
  <c r="I737" i="6"/>
  <c r="J737" i="6" s="1"/>
  <c r="I736" i="6"/>
  <c r="J736" i="6" s="1"/>
  <c r="I735" i="6"/>
  <c r="J735" i="6" s="1"/>
  <c r="I734" i="6"/>
  <c r="J734" i="6" s="1"/>
  <c r="I733" i="6"/>
  <c r="J733" i="6" s="1"/>
  <c r="I732" i="6"/>
  <c r="J732" i="6" s="1"/>
  <c r="I731" i="6"/>
  <c r="J731" i="6" s="1"/>
  <c r="I730" i="6"/>
  <c r="J730" i="6" s="1"/>
  <c r="I729" i="6"/>
  <c r="J729" i="6" s="1"/>
  <c r="I728" i="6"/>
  <c r="J728" i="6" s="1"/>
  <c r="I727" i="6"/>
  <c r="J727" i="6" s="1"/>
  <c r="I726" i="6"/>
  <c r="J726" i="6" s="1"/>
  <c r="I725" i="6"/>
  <c r="J725" i="6" s="1"/>
  <c r="I724" i="6"/>
  <c r="J724" i="6" s="1"/>
  <c r="I723" i="6"/>
  <c r="J723" i="6" s="1"/>
  <c r="I722" i="6"/>
  <c r="J722" i="6" s="1"/>
  <c r="I721" i="6"/>
  <c r="J721" i="6" s="1"/>
  <c r="I720" i="6"/>
  <c r="J720" i="6" s="1"/>
  <c r="I719" i="6"/>
  <c r="J719" i="6" s="1"/>
  <c r="I718" i="6"/>
  <c r="J718" i="6" s="1"/>
  <c r="I717" i="6"/>
  <c r="J717" i="6" s="1"/>
  <c r="I716" i="6"/>
  <c r="J716" i="6" s="1"/>
  <c r="I715" i="6"/>
  <c r="J715" i="6" s="1"/>
  <c r="I714" i="6"/>
  <c r="J714" i="6" s="1"/>
  <c r="I713" i="6"/>
  <c r="J713" i="6" s="1"/>
  <c r="I712" i="6"/>
  <c r="J712" i="6" s="1"/>
  <c r="I711" i="6"/>
  <c r="J711" i="6" s="1"/>
  <c r="I710" i="6"/>
  <c r="J710" i="6" s="1"/>
  <c r="I709" i="6"/>
  <c r="J709" i="6" s="1"/>
  <c r="I708" i="6"/>
  <c r="J708" i="6" s="1"/>
  <c r="I707" i="6"/>
  <c r="J707" i="6" s="1"/>
  <c r="I706" i="6"/>
  <c r="J706" i="6" s="1"/>
  <c r="I705" i="6"/>
  <c r="J705" i="6" s="1"/>
  <c r="I704" i="6"/>
  <c r="J704" i="6" s="1"/>
  <c r="I703" i="6"/>
  <c r="J703" i="6" s="1"/>
  <c r="I702" i="6"/>
  <c r="J702" i="6" s="1"/>
  <c r="I701" i="6"/>
  <c r="J701" i="6" s="1"/>
  <c r="I700" i="6"/>
  <c r="J700" i="6" s="1"/>
  <c r="I699" i="6"/>
  <c r="J699" i="6" s="1"/>
  <c r="I698" i="6"/>
  <c r="J698" i="6" s="1"/>
  <c r="I697" i="6"/>
  <c r="J697" i="6" s="1"/>
  <c r="I696" i="6"/>
  <c r="J696" i="6" s="1"/>
  <c r="I695" i="6"/>
  <c r="J695" i="6" s="1"/>
  <c r="I694" i="6"/>
  <c r="J694" i="6" s="1"/>
  <c r="I693" i="6"/>
  <c r="J693" i="6" s="1"/>
  <c r="I692" i="6"/>
  <c r="J692" i="6" s="1"/>
  <c r="I691" i="6"/>
  <c r="J691" i="6" s="1"/>
  <c r="I690" i="6"/>
  <c r="J690" i="6" s="1"/>
  <c r="I689" i="6"/>
  <c r="J689" i="6" s="1"/>
  <c r="I688" i="6"/>
  <c r="J688" i="6" s="1"/>
  <c r="I687" i="6"/>
  <c r="J687" i="6" s="1"/>
  <c r="I686" i="6"/>
  <c r="J686" i="6" s="1"/>
  <c r="I685" i="6"/>
  <c r="J685" i="6" s="1"/>
  <c r="I684" i="6"/>
  <c r="J684" i="6" s="1"/>
  <c r="I683" i="6"/>
  <c r="J683" i="6" s="1"/>
  <c r="I682" i="6"/>
  <c r="J682" i="6" s="1"/>
  <c r="I681" i="6"/>
  <c r="J681" i="6" s="1"/>
  <c r="I680" i="6"/>
  <c r="J680" i="6" s="1"/>
  <c r="I679" i="6"/>
  <c r="J679" i="6" s="1"/>
  <c r="I678" i="6"/>
  <c r="J678" i="6" s="1"/>
  <c r="I677" i="6"/>
  <c r="J677" i="6" s="1"/>
  <c r="I676" i="6"/>
  <c r="J676" i="6" s="1"/>
  <c r="I675" i="6"/>
  <c r="J675" i="6" s="1"/>
  <c r="I674" i="6"/>
  <c r="J674" i="6" s="1"/>
  <c r="I673" i="6"/>
  <c r="J673" i="6" s="1"/>
  <c r="I672" i="6"/>
  <c r="J672" i="6" s="1"/>
  <c r="I671" i="6"/>
  <c r="J671" i="6" s="1"/>
  <c r="I670" i="6"/>
  <c r="J670" i="6" s="1"/>
  <c r="I669" i="6"/>
  <c r="J669" i="6" s="1"/>
  <c r="I668" i="6"/>
  <c r="J668" i="6" s="1"/>
  <c r="I667" i="6"/>
  <c r="J667" i="6" s="1"/>
  <c r="I666" i="6"/>
  <c r="J666" i="6" s="1"/>
  <c r="I665" i="6"/>
  <c r="J665" i="6" s="1"/>
  <c r="I664" i="6"/>
  <c r="J664" i="6" s="1"/>
  <c r="I663" i="6"/>
  <c r="J663" i="6" s="1"/>
  <c r="I662" i="6"/>
  <c r="J662" i="6" s="1"/>
  <c r="I661" i="6"/>
  <c r="J661" i="6" s="1"/>
  <c r="I660" i="6"/>
  <c r="J660" i="6" s="1"/>
  <c r="I659" i="6"/>
  <c r="J659" i="6" s="1"/>
  <c r="I658" i="6"/>
  <c r="J658" i="6" s="1"/>
  <c r="I657" i="6"/>
  <c r="J657" i="6" s="1"/>
  <c r="I656" i="6"/>
  <c r="J656" i="6" s="1"/>
  <c r="I655" i="6"/>
  <c r="J655" i="6" s="1"/>
  <c r="I654" i="6"/>
  <c r="J654" i="6" s="1"/>
  <c r="I653" i="6"/>
  <c r="J653" i="6" s="1"/>
  <c r="I652" i="6"/>
  <c r="J652" i="6" s="1"/>
  <c r="I651" i="6"/>
  <c r="J651" i="6" s="1"/>
  <c r="I650" i="6"/>
  <c r="J650" i="6" s="1"/>
  <c r="I649" i="6"/>
  <c r="J649" i="6" s="1"/>
  <c r="I648" i="6"/>
  <c r="J648" i="6" s="1"/>
  <c r="I647" i="6"/>
  <c r="J647" i="6" s="1"/>
  <c r="I646" i="6"/>
  <c r="J646" i="6" s="1"/>
  <c r="I645" i="6"/>
  <c r="J645" i="6" s="1"/>
  <c r="I644" i="6"/>
  <c r="J644" i="6" s="1"/>
  <c r="I643" i="6"/>
  <c r="J643" i="6" s="1"/>
  <c r="I642" i="6"/>
  <c r="J642" i="6" s="1"/>
  <c r="I641" i="6"/>
  <c r="J641" i="6" s="1"/>
  <c r="I640" i="6"/>
  <c r="J640" i="6" s="1"/>
  <c r="I639" i="6"/>
  <c r="J639" i="6" s="1"/>
  <c r="I638" i="6"/>
  <c r="J638" i="6" s="1"/>
  <c r="I637" i="6"/>
  <c r="J637" i="6" s="1"/>
  <c r="I636" i="6"/>
  <c r="J636" i="6" s="1"/>
  <c r="I635" i="6"/>
  <c r="J635" i="6" s="1"/>
  <c r="I634" i="6"/>
  <c r="J634" i="6" s="1"/>
  <c r="I633" i="6"/>
  <c r="J633" i="6" s="1"/>
  <c r="I632" i="6"/>
  <c r="J632" i="6" s="1"/>
  <c r="I631" i="6"/>
  <c r="J631" i="6" s="1"/>
  <c r="I630" i="6"/>
  <c r="J630" i="6" s="1"/>
  <c r="I629" i="6"/>
  <c r="J629" i="6" s="1"/>
  <c r="I628" i="6"/>
  <c r="J628" i="6" s="1"/>
  <c r="I627" i="6"/>
  <c r="J627" i="6" s="1"/>
  <c r="I626" i="6"/>
  <c r="J626" i="6" s="1"/>
  <c r="I625" i="6"/>
  <c r="J625" i="6" s="1"/>
  <c r="I624" i="6"/>
  <c r="J624" i="6" s="1"/>
  <c r="I623" i="6"/>
  <c r="J623" i="6" s="1"/>
  <c r="I622" i="6"/>
  <c r="J622" i="6" s="1"/>
  <c r="I621" i="6"/>
  <c r="J621" i="6" s="1"/>
  <c r="I620" i="6"/>
  <c r="J620" i="6" s="1"/>
  <c r="I619" i="6"/>
  <c r="J619" i="6" s="1"/>
  <c r="I618" i="6"/>
  <c r="J618" i="6" s="1"/>
  <c r="I617" i="6"/>
  <c r="J617" i="6" s="1"/>
  <c r="I616" i="6"/>
  <c r="J616" i="6" s="1"/>
  <c r="I615" i="6"/>
  <c r="J615" i="6" s="1"/>
  <c r="I614" i="6"/>
  <c r="J614" i="6" s="1"/>
  <c r="I613" i="6"/>
  <c r="J613" i="6" s="1"/>
  <c r="I612" i="6"/>
  <c r="J612" i="6" s="1"/>
  <c r="I611" i="6"/>
  <c r="J611" i="6" s="1"/>
  <c r="I610" i="6"/>
  <c r="J610" i="6" s="1"/>
  <c r="I609" i="6"/>
  <c r="J609" i="6" s="1"/>
  <c r="I608" i="6"/>
  <c r="J608" i="6" s="1"/>
  <c r="I607" i="6"/>
  <c r="J607" i="6" s="1"/>
  <c r="I606" i="6"/>
  <c r="J606" i="6" s="1"/>
  <c r="I605" i="6"/>
  <c r="J605" i="6" s="1"/>
  <c r="I604" i="6"/>
  <c r="J604" i="6" s="1"/>
  <c r="I603" i="6"/>
  <c r="J603" i="6" s="1"/>
  <c r="I602" i="6"/>
  <c r="J602" i="6" s="1"/>
  <c r="I601" i="6"/>
  <c r="J601" i="6" s="1"/>
  <c r="I600" i="6"/>
  <c r="J600" i="6" s="1"/>
  <c r="I599" i="6"/>
  <c r="J599" i="6" s="1"/>
  <c r="I598" i="6"/>
  <c r="J598" i="6" s="1"/>
  <c r="I597" i="6"/>
  <c r="J597" i="6" s="1"/>
  <c r="I596" i="6"/>
  <c r="J596" i="6" s="1"/>
  <c r="I595" i="6"/>
  <c r="J595" i="6" s="1"/>
  <c r="I594" i="6"/>
  <c r="J594" i="6" s="1"/>
  <c r="I593" i="6"/>
  <c r="J593" i="6" s="1"/>
  <c r="I592" i="6"/>
  <c r="J592" i="6" s="1"/>
  <c r="I591" i="6"/>
  <c r="J591" i="6" s="1"/>
  <c r="I590" i="6"/>
  <c r="J590" i="6" s="1"/>
  <c r="I589" i="6"/>
  <c r="J589" i="6" s="1"/>
  <c r="I588" i="6"/>
  <c r="J588" i="6" s="1"/>
  <c r="I587" i="6"/>
  <c r="J587" i="6" s="1"/>
  <c r="I586" i="6"/>
  <c r="J586" i="6" s="1"/>
  <c r="I585" i="6"/>
  <c r="J585" i="6" s="1"/>
  <c r="I584" i="6"/>
  <c r="J584" i="6" s="1"/>
  <c r="I583" i="6"/>
  <c r="J583" i="6" s="1"/>
  <c r="I582" i="6"/>
  <c r="J582" i="6" s="1"/>
  <c r="I581" i="6"/>
  <c r="J581" i="6" s="1"/>
  <c r="I580" i="6"/>
  <c r="J580" i="6" s="1"/>
  <c r="I579" i="6"/>
  <c r="J579" i="6" s="1"/>
  <c r="I578" i="6"/>
  <c r="J578" i="6" s="1"/>
  <c r="I577" i="6"/>
  <c r="J577" i="6" s="1"/>
  <c r="I576" i="6"/>
  <c r="J576" i="6" s="1"/>
  <c r="I575" i="6"/>
  <c r="J575" i="6" s="1"/>
  <c r="I574" i="6"/>
  <c r="J574" i="6" s="1"/>
  <c r="I573" i="6"/>
  <c r="J573" i="6" s="1"/>
  <c r="I572" i="6"/>
  <c r="J572" i="6" s="1"/>
  <c r="I571" i="6"/>
  <c r="J571" i="6" s="1"/>
  <c r="I570" i="6"/>
  <c r="J570" i="6" s="1"/>
  <c r="I569" i="6"/>
  <c r="J569" i="6" s="1"/>
  <c r="I568" i="6"/>
  <c r="J568" i="6" s="1"/>
  <c r="I567" i="6"/>
  <c r="J567" i="6" s="1"/>
  <c r="I566" i="6"/>
  <c r="J566" i="6" s="1"/>
  <c r="I565" i="6"/>
  <c r="J565" i="6" s="1"/>
  <c r="I564" i="6"/>
  <c r="J564" i="6" s="1"/>
  <c r="I563" i="6"/>
  <c r="J563" i="6" s="1"/>
  <c r="I562" i="6"/>
  <c r="J562" i="6" s="1"/>
  <c r="I561" i="6"/>
  <c r="J561" i="6" s="1"/>
  <c r="I560" i="6"/>
  <c r="J560" i="6" s="1"/>
  <c r="I559" i="6"/>
  <c r="J559" i="6" s="1"/>
  <c r="I558" i="6"/>
  <c r="J558" i="6" s="1"/>
  <c r="I557" i="6"/>
  <c r="J557" i="6" s="1"/>
  <c r="I556" i="6"/>
  <c r="J556" i="6" s="1"/>
  <c r="I555" i="6"/>
  <c r="J555" i="6" s="1"/>
  <c r="I554" i="6"/>
  <c r="J554" i="6" s="1"/>
  <c r="I553" i="6"/>
  <c r="J553" i="6" s="1"/>
  <c r="I552" i="6"/>
  <c r="J552" i="6" s="1"/>
  <c r="I551" i="6"/>
  <c r="J551" i="6" s="1"/>
  <c r="I550" i="6"/>
  <c r="J550" i="6" s="1"/>
  <c r="I549" i="6"/>
  <c r="J549" i="6" s="1"/>
  <c r="I548" i="6"/>
  <c r="J548" i="6" s="1"/>
  <c r="I547" i="6"/>
  <c r="J547" i="6" s="1"/>
  <c r="I546" i="6"/>
  <c r="J546" i="6" s="1"/>
  <c r="I545" i="6"/>
  <c r="J545" i="6" s="1"/>
  <c r="I544" i="6"/>
  <c r="J544" i="6" s="1"/>
  <c r="I543" i="6"/>
  <c r="J543" i="6" s="1"/>
  <c r="I542" i="6"/>
  <c r="J542" i="6" s="1"/>
  <c r="I541" i="6"/>
  <c r="J541" i="6" s="1"/>
  <c r="I540" i="6"/>
  <c r="J540" i="6" s="1"/>
  <c r="I539" i="6"/>
  <c r="J539" i="6" s="1"/>
  <c r="I538" i="6"/>
  <c r="J538" i="6" s="1"/>
  <c r="I537" i="6"/>
  <c r="J537" i="6" s="1"/>
  <c r="I536" i="6"/>
  <c r="J536" i="6" s="1"/>
  <c r="I535" i="6"/>
  <c r="J535" i="6" s="1"/>
  <c r="I534" i="6"/>
  <c r="J534" i="6" s="1"/>
  <c r="I533" i="6"/>
  <c r="J533" i="6" s="1"/>
  <c r="I532" i="6"/>
  <c r="J532" i="6" s="1"/>
  <c r="I531" i="6"/>
  <c r="J531" i="6" s="1"/>
  <c r="I530" i="6"/>
  <c r="J530" i="6" s="1"/>
  <c r="I529" i="6"/>
  <c r="J529" i="6" s="1"/>
  <c r="I528" i="6"/>
  <c r="J528" i="6" s="1"/>
  <c r="I527" i="6"/>
  <c r="J527" i="6" s="1"/>
  <c r="I526" i="6"/>
  <c r="J526" i="6" s="1"/>
  <c r="I525" i="6"/>
  <c r="J525" i="6" s="1"/>
  <c r="I524" i="6"/>
  <c r="J524" i="6" s="1"/>
  <c r="I523" i="6"/>
  <c r="J523" i="6" s="1"/>
  <c r="I522" i="6"/>
  <c r="J522" i="6" s="1"/>
  <c r="I521" i="6"/>
  <c r="J521" i="6" s="1"/>
  <c r="I520" i="6"/>
  <c r="J520" i="6" s="1"/>
  <c r="I519" i="6"/>
  <c r="J519" i="6" s="1"/>
  <c r="I518" i="6"/>
  <c r="J518" i="6" s="1"/>
  <c r="I517" i="6"/>
  <c r="J517" i="6" s="1"/>
  <c r="I516" i="6"/>
  <c r="J516" i="6" s="1"/>
  <c r="I515" i="6"/>
  <c r="J515" i="6" s="1"/>
  <c r="I514" i="6"/>
  <c r="J514" i="6" s="1"/>
  <c r="I513" i="6"/>
  <c r="J513" i="6" s="1"/>
  <c r="I512" i="6"/>
  <c r="J512" i="6" s="1"/>
  <c r="I511" i="6"/>
  <c r="J511" i="6" s="1"/>
  <c r="I510" i="6"/>
  <c r="J510" i="6" s="1"/>
  <c r="I509" i="6"/>
  <c r="J509" i="6" s="1"/>
  <c r="I508" i="6"/>
  <c r="J508" i="6" s="1"/>
  <c r="I507" i="6"/>
  <c r="J507" i="6" s="1"/>
  <c r="I506" i="6"/>
  <c r="J506" i="6" s="1"/>
  <c r="I505" i="6"/>
  <c r="J505" i="6" s="1"/>
  <c r="I504" i="6"/>
  <c r="J504" i="6" s="1"/>
  <c r="I503" i="6"/>
  <c r="J503" i="6" s="1"/>
  <c r="I502" i="6"/>
  <c r="J502" i="6" s="1"/>
  <c r="I501" i="6"/>
  <c r="J501" i="6" l="1"/>
</calcChain>
</file>

<file path=xl/sharedStrings.xml><?xml version="1.0" encoding="utf-8"?>
<sst xmlns="http://schemas.openxmlformats.org/spreadsheetml/2006/main" count="4179" uniqueCount="915">
  <si>
    <t>Row Labels</t>
  </si>
  <si>
    <t>Adrien Martin</t>
  </si>
  <si>
    <t>Albain Forestier</t>
  </si>
  <si>
    <t>Roch Cousineau</t>
  </si>
  <si>
    <t>Grand Total</t>
  </si>
  <si>
    <t>13-Jun</t>
  </si>
  <si>
    <t>14-Jun</t>
  </si>
  <si>
    <t>15-Jun</t>
  </si>
  <si>
    <t>16-Jun</t>
  </si>
  <si>
    <t>17-Jun</t>
  </si>
  <si>
    <t>18-Jun</t>
  </si>
  <si>
    <t>19-Jun</t>
  </si>
  <si>
    <t>20-Jun</t>
  </si>
  <si>
    <t>21-Jun</t>
  </si>
  <si>
    <t>22-Jun</t>
  </si>
  <si>
    <t>23-Jun</t>
  </si>
  <si>
    <t>24-Jun</t>
  </si>
  <si>
    <t>25-Jun</t>
  </si>
  <si>
    <t>26-Jun</t>
  </si>
  <si>
    <t>27-Jun</t>
  </si>
  <si>
    <t>28-Jun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</si>
  <si>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</si>
  <si>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</si>
  <si>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</si>
  <si>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</si>
  <si>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</si>
  <si>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</si>
  <si>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</si>
  <si>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</si>
  <si>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</si>
  <si>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</si>
  <si>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</si>
  <si>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</si>
  <si>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</si>
  <si>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</si>
  <si>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</si>
  <si>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</si>
  <si>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</si>
  <si>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</si>
  <si>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</si>
  <si>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</si>
  <si>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</si>
  <si>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</si>
  <si>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</si>
  <si>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</si>
  <si>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</si>
  <si>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</si>
  <si>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</si>
  <si>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</si>
  <si>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</si>
  <si>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</si>
  <si>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</si>
  <si>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</si>
  <si>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</si>
  <si>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</si>
  <si>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</si>
  <si>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</si>
  <si>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</si>
  <si>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</si>
  <si>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</si>
  <si>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</si>
  <si>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</si>
  <si>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</si>
  <si>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</si>
  <si>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</si>
  <si>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</si>
  <si>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</si>
  <si>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</si>
  <si>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</si>
  <si>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</si>
  <si>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</si>
  <si>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</si>
  <si>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</si>
  <si>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</si>
  <si>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</si>
  <si>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</si>
  <si>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</si>
  <si>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</si>
  <si>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</si>
  <si>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</si>
  <si>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</si>
  <si>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01-Sep</t>
  </si>
  <si>
    <t>02-Sep</t>
  </si>
  <si>
    <t>03-Sep</t>
  </si>
  <si>
    <t>04-Sep</t>
  </si>
  <si>
    <t>05-Sep</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</si>
  <si>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</si>
  <si>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</si>
  <si>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</si>
  <si>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</si>
  <si>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</si>
  <si>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</si>
  <si>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</si>
  <si>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</si>
  <si>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</si>
  <si>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</si>
  <si>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</si>
  <si>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</si>
  <si>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</si>
  <si>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</si>
  <si>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</si>
  <si>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</si>
  <si>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</si>
  <si>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</si>
  <si>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</si>
  <si>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</si>
  <si>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</si>
  <si>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</si>
  <si>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</si>
  <si>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</si>
  <si>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</si>
  <si>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</si>
  <si>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</si>
  <si>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PBOR00035</t>
  </si>
  <si>
    <t>PBOR00029</t>
  </si>
  <si>
    <t>PBOR00030</t>
  </si>
  <si>
    <t>PBOR00031</t>
  </si>
  <si>
    <t>PBOR00032</t>
  </si>
  <si>
    <t>PBOR00033</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</si>
  <si>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</si>
  <si>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</si>
  <si>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</si>
  <si>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</si>
  <si>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</si>
  <si>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</si>
  <si>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</si>
  <si>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</si>
  <si>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</si>
  <si>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</si>
  <si>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</si>
  <si>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</si>
  <si>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</si>
  <si>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</si>
  <si>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</si>
  <si>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</si>
  <si>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</si>
  <si>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</si>
  <si>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</si>
  <si>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</si>
  <si>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</si>
  <si>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</si>
  <si>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</si>
  <si>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</si>
  <si>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</si>
  <si>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</si>
  <si>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</si>
  <si>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</si>
  <si>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</si>
  <si>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</si>
  <si>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</si>
  <si>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</si>
  <si>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</si>
  <si>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</si>
  <si>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</si>
  <si>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</si>
  <si>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</si>
  <si>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</si>
  <si>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</si>
  <si>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</si>
  <si>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</si>
  <si>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</si>
  <si>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</si>
  <si>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</si>
  <si>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</si>
  <si>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</si>
  <si>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</si>
  <si>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</si>
  <si>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</si>
  <si>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</si>
  <si>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</si>
  <si>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</si>
  <si>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</si>
  <si>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</si>
  <si>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</si>
  <si>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</si>
  <si>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</si>
  <si>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</si>
  <si>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</si>
  <si>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</si>
  <si>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</si>
  <si>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</si>
  <si>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</si>
  <si>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</si>
  <si>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</si>
  <si>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</si>
  <si>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</si>
  <si>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</si>
  <si>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</si>
  <si>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</si>
  <si>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</si>
  <si>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</si>
  <si>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</si>
  <si>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</si>
  <si>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</si>
  <si>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</si>
  <si>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</si>
  <si>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</si>
  <si>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</si>
  <si>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</si>
  <si>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</si>
  <si>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</si>
  <si>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</si>
  <si>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</si>
  <si>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</si>
  <si>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</si>
  <si>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</si>
  <si>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</si>
  <si>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</si>
  <si>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</si>
  <si>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</si>
  <si>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</si>
  <si>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</si>
  <si>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</si>
  <si>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</si>
  <si>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</si>
  <si>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</si>
  <si>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</si>
  <si>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</si>
  <si>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</si>
  <si>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</si>
  <si>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</si>
  <si>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</si>
  <si>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</si>
  <si>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</si>
  <si>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</si>
  <si>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</si>
  <si>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</si>
  <si>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</si>
  <si>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</si>
  <si>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</si>
  <si>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</si>
  <si>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</si>
  <si>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</si>
  <si>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</si>
  <si>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</si>
  <si>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</si>
  <si>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</si>
  <si>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</si>
  <si>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</si>
  <si>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</si>
  <si>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</si>
  <si>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</si>
  <si>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</si>
  <si>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</si>
  <si>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</si>
  <si>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</si>
  <si>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</si>
  <si>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</si>
  <si>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</si>
  <si>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</si>
  <si>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</si>
  <si>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</si>
  <si>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</si>
  <si>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</si>
  <si>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</si>
  <si>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</si>
  <si>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</si>
  <si>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</si>
  <si>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</si>
  <si>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</si>
  <si>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</si>
  <si>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</si>
  <si>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</si>
  <si>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</si>
  <si>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</si>
  <si>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</si>
  <si>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</si>
  <si>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</si>
  <si>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</si>
  <si>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</si>
  <si>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</si>
  <si>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</si>
  <si>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</si>
  <si>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</si>
  <si>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</si>
  <si>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</si>
  <si>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</si>
  <si>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</si>
  <si>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</si>
  <si>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</si>
  <si>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</si>
  <si>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</si>
  <si>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</si>
  <si>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</si>
  <si>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</si>
  <si>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</si>
  <si>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</si>
  <si>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</si>
  <si>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</si>
  <si>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</si>
  <si>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</si>
  <si>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</si>
  <si>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</si>
  <si>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</si>
  <si>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</si>
  <si>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</si>
  <si>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</si>
  <si>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</si>
  <si>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</si>
  <si>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</si>
  <si>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</si>
  <si>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</si>
  <si>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</si>
  <si>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</si>
  <si>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</si>
  <si>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</si>
  <si>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</si>
  <si>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</si>
  <si>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</si>
  <si>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</si>
  <si>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</si>
  <si>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</si>
  <si>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</si>
  <si>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</si>
  <si>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</si>
  <si>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</si>
  <si>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</si>
  <si>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</si>
  <si>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</si>
  <si>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</si>
  <si>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</si>
  <si>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</si>
  <si>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</si>
  <si>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</si>
  <si>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</si>
  <si>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</si>
  <si>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</si>
  <si>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</si>
  <si>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</si>
  <si>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</si>
  <si>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</si>
  <si>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</si>
  <si>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</si>
  <si>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</si>
  <si>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</si>
  <si>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</si>
  <si>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</si>
  <si>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</si>
  <si>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</si>
  <si>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</si>
  <si>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</si>
  <si>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</si>
  <si>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</si>
  <si>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</si>
  <si>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</si>
  <si>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</si>
  <si>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</si>
  <si>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</si>
  <si>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</si>
  <si>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</si>
  <si>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</si>
  <si>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</si>
  <si>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</si>
  <si>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</si>
  <si>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</si>
  <si>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</si>
  <si>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</si>
  <si>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</si>
  <si>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</si>
  <si>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</si>
  <si>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</si>
  <si>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</si>
  <si>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</si>
  <si>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</si>
  <si>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</si>
  <si>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</si>
  <si>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</si>
  <si>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</si>
  <si>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</si>
  <si>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</si>
  <si>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</si>
  <si>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</si>
  <si>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</si>
  <si>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</si>
  <si>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</si>
  <si>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</si>
  <si>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</si>
  <si>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</si>
  <si>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</si>
  <si>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</si>
  <si>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</si>
  <si>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</si>
  <si>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</si>
  <si>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</si>
  <si>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</si>
  <si>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</si>
  <si>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</si>
  <si>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</si>
  <si>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</si>
  <si>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</si>
  <si>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</si>
  <si>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</si>
  <si>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</si>
  <si>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</si>
  <si>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</si>
  <si>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</si>
  <si>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</si>
  <si>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</si>
  <si>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</si>
  <si>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</si>
  <si>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</si>
  <si>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</si>
  <si>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</si>
  <si>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</si>
  <si>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</si>
  <si>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</si>
  <si>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</si>
  <si>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</si>
  <si>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</si>
  <si>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</si>
  <si>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</si>
  <si>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</si>
  <si>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</si>
  <si>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</si>
  <si>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</si>
  <si>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</si>
  <si>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</si>
  <si>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</si>
  <si>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</si>
  <si>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</si>
  <si>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</si>
  <si>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</si>
  <si>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</si>
  <si>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</si>
  <si>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</si>
  <si>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</si>
  <si>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</si>
  <si>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</si>
  <si>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</si>
  <si>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</si>
  <si>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</si>
  <si>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</si>
  <si>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</si>
  <si>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</si>
  <si>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</si>
  <si>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</si>
  <si>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</si>
  <si>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</si>
  <si>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</si>
  <si>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</si>
  <si>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</si>
  <si>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</si>
  <si>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</si>
  <si>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</si>
  <si>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</si>
  <si>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</si>
  <si>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</si>
  <si>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</si>
  <si>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</si>
  <si>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</si>
  <si>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</si>
  <si>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</si>
  <si>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</si>
  <si>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</si>
  <si>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</si>
  <si>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</si>
  <si>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</si>
  <si>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</si>
  <si>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</si>
  <si>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</si>
  <si>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</si>
  <si>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</si>
  <si>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</si>
  <si>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</si>
  <si>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</si>
  <si>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</si>
  <si>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</si>
  <si>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</si>
  <si>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</si>
  <si>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</si>
  <si>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</si>
  <si>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</si>
  <si>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</si>
  <si>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</si>
  <si>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</si>
  <si>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</si>
  <si>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</si>
  <si>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</si>
  <si>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</si>
  <si>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</si>
  <si>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</si>
  <si>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</si>
  <si>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</si>
  <si>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</si>
  <si>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</si>
  <si>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</si>
  <si>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</si>
  <si>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</si>
  <si>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</si>
  <si>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</si>
  <si>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</si>
  <si>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</si>
  <si>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</si>
  <si>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</si>
  <si>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</si>
  <si>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</si>
  <si>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</si>
  <si>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</si>
  <si>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</si>
  <si>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</si>
  <si>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</si>
  <si>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</si>
  <si>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</si>
  <si>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</si>
  <si>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</si>
  <si>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</si>
  <si>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</si>
  <si>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</si>
  <si>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</si>
  <si>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</si>
  <si>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</si>
  <si>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</si>
  <si>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</si>
  <si>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</si>
  <si>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</si>
  <si>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</si>
  <si>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</si>
  <si>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</si>
  <si>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</si>
  <si>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</si>
  <si>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</si>
  <si>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</si>
  <si>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</si>
  <si>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</si>
  <si>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</si>
  <si>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</si>
  <si>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</si>
  <si>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</si>
  <si>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</si>
  <si>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</si>
  <si>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</si>
  <si>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</si>
  <si>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</si>
  <si>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</si>
  <si>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</si>
  <si>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</si>
  <si>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</si>
  <si>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</si>
  <si>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</si>
  <si>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</si>
  <si>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</si>
  <si>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</si>
  <si>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</si>
  <si>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</si>
  <si>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</si>
  <si>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</si>
  <si>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</si>
  <si>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</si>
  <si>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</si>
  <si>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</si>
  <si>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</si>
  <si>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</si>
  <si>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</si>
  <si>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</si>
  <si>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</si>
  <si>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</si>
  <si>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</si>
  <si>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</si>
  <si>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</si>
  <si>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</si>
  <si>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</si>
  <si>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</si>
  <si>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</si>
  <si>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</si>
  <si>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</si>
  <si>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</si>
  <si>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</si>
  <si>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</si>
  <si>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</si>
  <si>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</si>
  <si>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</si>
  <si>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</si>
  <si>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</si>
  <si>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</si>
  <si>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</si>
  <si>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</si>
  <si>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</si>
  <si>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</si>
  <si>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</si>
  <si>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</si>
  <si>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</si>
  <si>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</si>
  <si>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</si>
  <si>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</si>
  <si>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</si>
  <si>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</si>
  <si>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</si>
  <si>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</si>
  <si>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</si>
  <si>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</si>
  <si>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</si>
  <si>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</si>
  <si>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</si>
  <si>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</si>
  <si>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</si>
  <si>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</si>
  <si>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</si>
  <si>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</si>
  <si>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</si>
  <si>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</si>
  <si>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</si>
  <si>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</si>
  <si>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</si>
  <si>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</si>
  <si>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</si>
  <si>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</si>
  <si>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</si>
  <si>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</si>
  <si>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</si>
  <si>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</si>
  <si>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</si>
  <si>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</si>
  <si>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</si>
  <si>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</si>
  <si>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</si>
  <si>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</si>
  <si>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</si>
  <si>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</si>
  <si>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</si>
  <si>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</si>
  <si>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</si>
  <si>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</si>
  <si>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</si>
  <si>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</si>
  <si>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</si>
  <si>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</si>
  <si>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</si>
  <si>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</si>
  <si>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</si>
  <si>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</si>
  <si>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</si>
  <si>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</si>
  <si>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</si>
  <si>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</si>
  <si>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</si>
  <si>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</si>
  <si>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</si>
  <si>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</si>
  <si>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</si>
  <si>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</si>
  <si>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</si>
  <si>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</si>
  <si>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</si>
  <si>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</si>
  <si>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</si>
  <si>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</si>
  <si>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</si>
  <si>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</si>
  <si>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</si>
  <si>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</si>
  <si>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</si>
  <si>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</si>
  <si>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</si>
  <si>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</si>
  <si>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</si>
  <si>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</si>
  <si>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</si>
  <si>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</si>
  <si>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</si>
  <si>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</si>
  <si>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</si>
  <si>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</si>
  <si>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</si>
  <si>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</si>
  <si>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</si>
  <si>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</si>
  <si>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</si>
  <si>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</si>
  <si>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</si>
  <si>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</si>
  <si>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</si>
  <si>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</si>
  <si>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</si>
  <si>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</si>
  <si>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</si>
  <si>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</si>
  <si>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</si>
  <si>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</si>
  <si>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</si>
  <si>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</si>
  <si>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</si>
  <si>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</si>
  <si>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</si>
  <si>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</si>
  <si>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</si>
  <si>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</si>
  <si>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</si>
  <si>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</si>
  <si>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</si>
  <si>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</si>
  <si>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</si>
  <si>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</si>
  <si>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</si>
  <si>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</si>
  <si>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</si>
  <si>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</si>
  <si>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</si>
  <si>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</si>
  <si>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</si>
  <si>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</si>
  <si>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</si>
  <si>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</si>
  <si>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</si>
  <si>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</si>
  <si>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</si>
  <si>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</si>
  <si>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</si>
  <si>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</si>
  <si>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</si>
  <si>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</si>
  <si>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</si>
  <si>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</si>
  <si>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</si>
  <si>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</si>
  <si>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</si>
  <si>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</si>
  <si>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</si>
  <si>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</si>
  <si>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</si>
  <si>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</si>
  <si>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</si>
  <si>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</si>
  <si>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</si>
  <si>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</si>
  <si>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</si>
  <si>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</si>
  <si>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</si>
  <si>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</si>
  <si>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</si>
  <si>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</si>
  <si>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</si>
  <si>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</si>
  <si>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</si>
  <si>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</si>
  <si>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</si>
  <si>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</si>
  <si>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</si>
  <si>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</si>
  <si>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</si>
  <si>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</si>
  <si>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</si>
  <si>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</si>
  <si>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</si>
  <si>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</si>
  <si>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</si>
  <si>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</si>
  <si>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</si>
  <si>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</si>
  <si>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</si>
  <si>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</si>
  <si>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</si>
  <si>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</si>
  <si>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</si>
  <si>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</si>
  <si>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</si>
  <si>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</si>
  <si>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</si>
  <si>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</si>
  <si>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</si>
  <si>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</si>
  <si>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</si>
  <si>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</si>
  <si>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</si>
  <si>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</si>
  <si>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</si>
  <si>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</si>
  <si>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</si>
  <si>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</si>
  <si>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</si>
  <si>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</si>
  <si>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</si>
  <si>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</si>
  <si>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</si>
  <si>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</si>
  <si>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</si>
  <si>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</si>
  <si>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</si>
  <si>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</si>
  <si>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</si>
  <si>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</si>
  <si>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</si>
  <si>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</si>
  <si>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</si>
  <si>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</si>
  <si>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</si>
  <si>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</si>
  <si>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</si>
  <si>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</si>
  <si>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</si>
  <si>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</si>
  <si>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</si>
  <si>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</si>
  <si>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</si>
  <si>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</si>
  <si>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</si>
  <si>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</si>
  <si>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</si>
  <si>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</si>
  <si>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</si>
  <si>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</si>
  <si>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</si>
  <si>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</si>
  <si>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</si>
  <si>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</si>
  <si>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</si>
  <si>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</si>
  <si>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</si>
  <si>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</si>
  <si>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</si>
  <si>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</si>
  <si>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</si>
  <si>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</si>
  <si>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</si>
  <si>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</si>
  <si>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</si>
  <si>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</si>
  <si>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</si>
  <si>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</si>
  <si>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</si>
  <si>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</si>
  <si>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</si>
  <si>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</si>
  <si>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</si>
  <si>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</si>
  <si>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</si>
  <si>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</si>
  <si>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</si>
  <si>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</si>
  <si>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</si>
  <si>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</si>
  <si>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</si>
  <si>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</si>
  <si>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</si>
  <si>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</si>
  <si>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</si>
  <si>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</si>
  <si>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</si>
  <si>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</si>
  <si>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</si>
  <si>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</si>
  <si>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</si>
  <si>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</si>
  <si>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</si>
  <si>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</si>
  <si>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</si>
  <si>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</si>
  <si>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</si>
  <si>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</si>
  <si>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</si>
  <si>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</si>
  <si>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</si>
  <si>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</si>
  <si>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</si>
  <si>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</si>
  <si>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</si>
  <si>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</si>
  <si>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</si>
  <si>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</si>
  <si>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</si>
  <si>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</si>
  <si>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</si>
  <si>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</si>
  <si>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</si>
  <si>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</si>
  <si>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</si>
  <si>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</si>
  <si>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</si>
  <si>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</si>
  <si>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</si>
  <si>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</si>
  <si>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</si>
  <si>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</si>
  <si>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</si>
  <si>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</si>
  <si>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</si>
  <si>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</si>
  <si>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</si>
  <si>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</si>
  <si>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</si>
  <si>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</si>
  <si>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</si>
  <si>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Product ID</t>
  </si>
  <si>
    <t>Sale Date</t>
  </si>
  <si>
    <t>PIZB0001</t>
  </si>
  <si>
    <t>PIZB0002</t>
  </si>
  <si>
    <t>PIZB0003</t>
  </si>
  <si>
    <t>PIZB0004</t>
  </si>
  <si>
    <t>PIZB0005</t>
  </si>
  <si>
    <t>PIZB0006</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</si>
  <si>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</si>
  <si>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</si>
  <si>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</si>
  <si>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</si>
  <si>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</si>
  <si>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</si>
  <si>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</si>
  <si>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</si>
  <si>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</si>
  <si>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</si>
  <si>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</si>
  <si>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</si>
  <si>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</si>
  <si>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</si>
  <si>
    <t>Revenue</t>
  </si>
  <si>
    <t>Total revenue</t>
  </si>
  <si>
    <t>Average Revenue</t>
  </si>
  <si>
    <t>Average Discount</t>
  </si>
  <si>
    <t xml:space="preserve">Total orders </t>
  </si>
  <si>
    <t>Sum of No of Products in one Sale</t>
  </si>
  <si>
    <t>Sum of Revenue</t>
  </si>
  <si>
    <t>Months (Sale Date)</t>
  </si>
  <si>
    <t>(All)</t>
  </si>
  <si>
    <t>Orders Dashboard</t>
  </si>
  <si>
    <t>Avg. Revenue</t>
  </si>
  <si>
    <t>Avg.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</si>
</sst>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scheme val="minor"/>
    </font>
    <font>
      <sz val="11"/>
      <color theme="1"/>
      <name val="Calibri"/>
      <family val="2"/>
      <scheme val="minor"/>
    </font>
    <font>
      <sz val="11"/>
      <color theme="1"/>
      <name val="Calibri"/>
      <family val="2"/>
    </font>
    <font>
      <sz val="11"/>
      <color rgb="FFFFFFFF"/>
      <name val="Calibri"/>
      <family val="2"/>
      <scheme val="minor"/>
    </font>
    <font>
      <sz val="11"/>
      <color theme="3"/>
      <name val="Calibri"/>
      <family val="2"/>
      <scheme val="minor"/>
    </font>
    <font>
      <sz val="11"/>
      <color theme="0"/>
      <name val="Calibri"/>
      <family val="2"/>
      <scheme val="minor"/>
    </font>
    <font>
      <b/>
      <i/>
      <sz val="36"/>
      <color theme="3"/>
      <name val="Abadi MT Condensed Light"/>
      <family val="2"/>
    </font>
  </fonts>
  <fills count="4">
    <fill>
      <patternFill patternType="none"/>
    </fill>
    <fill>
      <patternFill patternType="gray125"/>
    </fill>
    <fill>
      <patternFill patternType="solid">
        <fgColor theme="5" tint="0.79998168889431442"/>
        <bgColor indexed="64"/>
      </patternFill>
    </fill>
    <fill>
      <patternFill patternType="solid">
        <fgColor theme="8"/>
        <bgColor indexed="64"/>
      </patternFill>
    </fill>
  </fills>
  <borders count="8">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2">
    <xf numFmtId="0" fontId="0" fillId="0" borderId="0"/>
    <xf numFmtId="0" fontId="1" fillId="0" borderId="1"/>
  </cellStyleXfs>
  <cellXfs count="22">
    <xf numFmtId="0" fontId="0" fillId="0" borderId="0" xfId="0"/>
    <xf numFmtId="0" fontId="1" fillId="0" borderId="0" xfId="0" applyFont="1"/>
    <xf numFmtId="0" fontId="3" fillId="0" borderId="0" xfId="0" applyFont="1"/>
    <xf numFmtId="15" fontId="2" fillId="0" borderId="0" xfId="0" applyNumberFormat="1" applyFont="1" applyAlignment="1">
      <alignment horizontal="center"/>
    </xf>
    <xf numFmtId="0" fontId="2" fillId="0" borderId="0" xfId="0" applyFont="1" applyAlignment="1">
      <alignment horizontal="center"/>
    </xf>
    <xf numFmtId="9" fontId="2" fillId="0" borderId="0" xfId="0" applyNumberFormat="1" applyFont="1"/>
    <xf numFmtId="0" fontId="0" fillId="0" borderId="4" xfId="0" applyBorder="1"/>
    <xf numFmtId="0" fontId="0" fillId="0" borderId="5" xfId="0" applyBorder="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4" fillId="2" borderId="0" xfId="0" applyFont="1" applyFill="1"/>
    <xf numFmtId="0" fontId="0" fillId="0" borderId="5" xfId="0" pivotButton="1" applyBorder="1"/>
    <xf numFmtId="1" fontId="0" fillId="0" borderId="4" xfId="0" applyNumberFormat="1" applyBorder="1"/>
    <xf numFmtId="1" fontId="0" fillId="0" borderId="6" xfId="0" applyNumberFormat="1" applyBorder="1"/>
    <xf numFmtId="1" fontId="0" fillId="0" borderId="5" xfId="0" applyNumberFormat="1" applyBorder="1"/>
    <xf numFmtId="0" fontId="6" fillId="3" borderId="0" xfId="0" applyFont="1" applyFill="1" applyAlignment="1">
      <alignment horizontal="center"/>
    </xf>
    <xf numFmtId="0" fontId="5" fillId="3" borderId="0" xfId="0" applyFont="1" applyFill="1" applyAlignment="1">
      <alignment horizontal="center"/>
    </xf>
    <xf numFmtId="0" fontId="0" fillId="0" borderId="4" xfId="0" applyNumberFormat="1" applyBorder="1"/>
    <xf numFmtId="0" fontId="0" fillId="0" borderId="6" xfId="0" applyNumberFormat="1" applyBorder="1"/>
    <xf numFmtId="0" fontId="0" fillId="0" borderId="5" xfId="0" applyNumberFormat="1" applyBorder="1"/>
  </cellXfs>
  <cellStyles count="2">
    <cellStyle name="Normal" xfId="0" builtinId="0"/>
    <cellStyle name="Normal 2" xfId="1" xr:uid="{CEBAC5A3-7898-6C4B-AF1D-1E7447B58C8D}"/>
  </cellStyles>
  <dxfs count="2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rgb="FFDEEAF6"/>
          <bgColor rgb="FFDEEAF6"/>
        </patternFill>
      </fill>
    </dxf>
    <dxf>
      <fill>
        <patternFill patternType="solid">
          <fgColor theme="8"/>
          <bgColor theme="8"/>
        </patternFill>
      </fill>
    </dxf>
  </dxfs>
  <tableStyles count="3">
    <tableStyle name="Customer Service-style" pivot="0" count="3" xr9:uid="{00000000-0011-0000-FFFF-FFFF00000000}">
      <tableStyleElement type="headerRow" dxfId="20"/>
      <tableStyleElement type="firstRowStripe" dxfId="19"/>
      <tableStyleElement type="secondRowStripe" dxfId="18"/>
    </tableStyle>
    <tableStyle name="Finance-style" pivot="0" count="3" xr9:uid="{00000000-0011-0000-FFFF-FFFF01000000}">
      <tableStyleElement type="headerRow" dxfId="17"/>
      <tableStyleElement type="firstRowStripe" dxfId="16"/>
      <tableStyleElement type="secondRowStripe" dxfId="15"/>
    </tableStyle>
    <tableStyle name="Orders-style" pivot="0" count="3" xr9:uid="{00000000-0011-0000-FFFF-FFFF02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Dashboard.xlsx]Orders Answers!PivotTable8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 sales of each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Answers'!$B$2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'Orders Answers'!$A$3:$A$9</c:f>
              <c:strCache>
                <c:ptCount val="6"/>
                <c:pt idx="0">
                  <c:v>PIZB0001</c:v>
                </c:pt>
                <c:pt idx="1">
                  <c:v>PIZB0002</c:v>
                </c:pt>
                <c:pt idx="2">
                  <c:v>PIZB0003</c:v>
                </c:pt>
                <c:pt idx="3">
                  <c:v>PIZB0004</c:v>
                </c:pt>
                <c:pt idx="4">
                  <c:v>PIZB0005</c:v>
                </c:pt>
                <c:pt idx="5">
                  <c:v>PIZB0006</c:v>
                </c:pt>
              </c:strCache>
            </c:strRef>
          </c:cat>
          <c:val>
            <c:numRef>
              <c:f>'Orders Answers'!$B$3:$B$9</c:f>
              <c:numCache>
                <c:formatCode>General</c:formatCode>
                <c:ptCount val="6"/>
                <c:pt idx="0">
                  <c:v>704</c:v>
                </c:pt>
                <c:pt idx="1">
                  <c:v>574</c:v>
                </c:pt>
                <c:pt idx="2">
                  <c:v>227</c:v>
                </c:pt>
                <c:pt idx="3">
                  <c:v>443</c:v>
                </c:pt>
                <c:pt idx="4">
                  <c:v>375</c:v>
                </c:pt>
                <c:pt idx="5">
                  <c:v>95</c:v>
                </c:pt>
              </c:numCache>
            </c:numRef>
          </c:val>
          <c:extLst>
            <c:ext xmlns:c16="http://schemas.microsoft.com/office/drawing/2014/chart" uri="{C3380CC4-5D6E-409C-BE32-E72D297353CC}">
              <c16:uniqueId val="{00000000-3AD6-BD41-A097-D1B7A13AF781}"/>
            </c:ext>
          </c:extLst>
        </c:ser>
        <c:dLbls>
          <c:showLegendKey val="0"/>
          <c:showVal val="0"/>
          <c:showCatName val="0"/>
          <c:showSerName val="0"/>
          <c:showPercent val="0"/>
          <c:showBubbleSize val="0"/>
        </c:dLbls>
        <c:gapWidth val="100"/>
        <c:overlap val="-24"/>
        <c:axId val="2084325567"/>
        <c:axId val="2084335423"/>
      </c:barChart>
      <c:catAx>
        <c:axId val="20843255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335423"/>
        <c:crosses val="autoZero"/>
        <c:auto val="1"/>
        <c:lblAlgn val="ctr"/>
        <c:lblOffset val="100"/>
        <c:noMultiLvlLbl val="0"/>
      </c:catAx>
      <c:valAx>
        <c:axId val="2084335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32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Dashboard.xlsx]Orders Answers!PivotTable9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No. of sales for each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Answers'!$B$14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'Orders Answers'!$A$15:$A$96</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Answers'!$B$15:$B$96</c:f>
              <c:numCache>
                <c:formatCode>General</c:formatCode>
                <c:ptCount val="81"/>
                <c:pt idx="0">
                  <c:v>42</c:v>
                </c:pt>
                <c:pt idx="1">
                  <c:v>18</c:v>
                </c:pt>
                <c:pt idx="2">
                  <c:v>46</c:v>
                </c:pt>
                <c:pt idx="3">
                  <c:v>22</c:v>
                </c:pt>
                <c:pt idx="4">
                  <c:v>45</c:v>
                </c:pt>
                <c:pt idx="5">
                  <c:v>38</c:v>
                </c:pt>
                <c:pt idx="6">
                  <c:v>55</c:v>
                </c:pt>
                <c:pt idx="7">
                  <c:v>21</c:v>
                </c:pt>
                <c:pt idx="8">
                  <c:v>26</c:v>
                </c:pt>
                <c:pt idx="9">
                  <c:v>128</c:v>
                </c:pt>
                <c:pt idx="10">
                  <c:v>102</c:v>
                </c:pt>
                <c:pt idx="11">
                  <c:v>26</c:v>
                </c:pt>
                <c:pt idx="12">
                  <c:v>68</c:v>
                </c:pt>
                <c:pt idx="13">
                  <c:v>70</c:v>
                </c:pt>
                <c:pt idx="14">
                  <c:v>37</c:v>
                </c:pt>
                <c:pt idx="15">
                  <c:v>64</c:v>
                </c:pt>
                <c:pt idx="16">
                  <c:v>49</c:v>
                </c:pt>
                <c:pt idx="17">
                  <c:v>23</c:v>
                </c:pt>
                <c:pt idx="18">
                  <c:v>35</c:v>
                </c:pt>
                <c:pt idx="19">
                  <c:v>13</c:v>
                </c:pt>
                <c:pt idx="20">
                  <c:v>53</c:v>
                </c:pt>
                <c:pt idx="21">
                  <c:v>19</c:v>
                </c:pt>
                <c:pt idx="22">
                  <c:v>45</c:v>
                </c:pt>
                <c:pt idx="23">
                  <c:v>21</c:v>
                </c:pt>
                <c:pt idx="24">
                  <c:v>26</c:v>
                </c:pt>
                <c:pt idx="25">
                  <c:v>54</c:v>
                </c:pt>
                <c:pt idx="26">
                  <c:v>59</c:v>
                </c:pt>
                <c:pt idx="27">
                  <c:v>38</c:v>
                </c:pt>
                <c:pt idx="28">
                  <c:v>39</c:v>
                </c:pt>
                <c:pt idx="29">
                  <c:v>53</c:v>
                </c:pt>
                <c:pt idx="30">
                  <c:v>31</c:v>
                </c:pt>
                <c:pt idx="31">
                  <c:v>22</c:v>
                </c:pt>
                <c:pt idx="32">
                  <c:v>50</c:v>
                </c:pt>
                <c:pt idx="33">
                  <c:v>36</c:v>
                </c:pt>
                <c:pt idx="34">
                  <c:v>32</c:v>
                </c:pt>
                <c:pt idx="35">
                  <c:v>40</c:v>
                </c:pt>
                <c:pt idx="36">
                  <c:v>52</c:v>
                </c:pt>
                <c:pt idx="37">
                  <c:v>46</c:v>
                </c:pt>
                <c:pt idx="38">
                  <c:v>9</c:v>
                </c:pt>
                <c:pt idx="39">
                  <c:v>20</c:v>
                </c:pt>
                <c:pt idx="40">
                  <c:v>16</c:v>
                </c:pt>
                <c:pt idx="41">
                  <c:v>46</c:v>
                </c:pt>
                <c:pt idx="42">
                  <c:v>22</c:v>
                </c:pt>
                <c:pt idx="43">
                  <c:v>30</c:v>
                </c:pt>
                <c:pt idx="44">
                  <c:v>28</c:v>
                </c:pt>
                <c:pt idx="45">
                  <c:v>9</c:v>
                </c:pt>
                <c:pt idx="46">
                  <c:v>18</c:v>
                </c:pt>
                <c:pt idx="47">
                  <c:v>18</c:v>
                </c:pt>
                <c:pt idx="48">
                  <c:v>16</c:v>
                </c:pt>
                <c:pt idx="49">
                  <c:v>7</c:v>
                </c:pt>
                <c:pt idx="50">
                  <c:v>8</c:v>
                </c:pt>
                <c:pt idx="51">
                  <c:v>9</c:v>
                </c:pt>
                <c:pt idx="52">
                  <c:v>10</c:v>
                </c:pt>
                <c:pt idx="53">
                  <c:v>6</c:v>
                </c:pt>
                <c:pt idx="54">
                  <c:v>16</c:v>
                </c:pt>
                <c:pt idx="55">
                  <c:v>6</c:v>
                </c:pt>
                <c:pt idx="56">
                  <c:v>2</c:v>
                </c:pt>
                <c:pt idx="57">
                  <c:v>6</c:v>
                </c:pt>
                <c:pt idx="58">
                  <c:v>4</c:v>
                </c:pt>
                <c:pt idx="59">
                  <c:v>20</c:v>
                </c:pt>
                <c:pt idx="60">
                  <c:v>10</c:v>
                </c:pt>
                <c:pt idx="61">
                  <c:v>17</c:v>
                </c:pt>
                <c:pt idx="62">
                  <c:v>16</c:v>
                </c:pt>
                <c:pt idx="63">
                  <c:v>35</c:v>
                </c:pt>
                <c:pt idx="64">
                  <c:v>12</c:v>
                </c:pt>
                <c:pt idx="65">
                  <c:v>31</c:v>
                </c:pt>
                <c:pt idx="66">
                  <c:v>36</c:v>
                </c:pt>
                <c:pt idx="67">
                  <c:v>15</c:v>
                </c:pt>
                <c:pt idx="68">
                  <c:v>6</c:v>
                </c:pt>
                <c:pt idx="69">
                  <c:v>3</c:v>
                </c:pt>
                <c:pt idx="70">
                  <c:v>25</c:v>
                </c:pt>
                <c:pt idx="71">
                  <c:v>27</c:v>
                </c:pt>
                <c:pt idx="72">
                  <c:v>61</c:v>
                </c:pt>
                <c:pt idx="73">
                  <c:v>22</c:v>
                </c:pt>
                <c:pt idx="74">
                  <c:v>25</c:v>
                </c:pt>
                <c:pt idx="75">
                  <c:v>23</c:v>
                </c:pt>
                <c:pt idx="76">
                  <c:v>8</c:v>
                </c:pt>
                <c:pt idx="77">
                  <c:v>12</c:v>
                </c:pt>
                <c:pt idx="78">
                  <c:v>11</c:v>
                </c:pt>
                <c:pt idx="79">
                  <c:v>29</c:v>
                </c:pt>
                <c:pt idx="80">
                  <c:v>24</c:v>
                </c:pt>
              </c:numCache>
            </c:numRef>
          </c:val>
          <c:smooth val="0"/>
          <c:extLst>
            <c:ext xmlns:c16="http://schemas.microsoft.com/office/drawing/2014/chart" uri="{C3380CC4-5D6E-409C-BE32-E72D297353CC}">
              <c16:uniqueId val="{00000000-42C6-724E-8EED-BAEBBAE31FD2}"/>
            </c:ext>
          </c:extLst>
        </c:ser>
        <c:dLbls>
          <c:dLblPos val="ctr"/>
          <c:showLegendKey val="0"/>
          <c:showVal val="1"/>
          <c:showCatName val="0"/>
          <c:showSerName val="0"/>
          <c:showPercent val="0"/>
          <c:showBubbleSize val="0"/>
        </c:dLbls>
        <c:marker val="1"/>
        <c:smooth val="0"/>
        <c:axId val="2054237567"/>
        <c:axId val="2054235775"/>
      </c:lineChart>
      <c:catAx>
        <c:axId val="20542375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235775"/>
        <c:crosses val="autoZero"/>
        <c:auto val="1"/>
        <c:lblAlgn val="ctr"/>
        <c:lblOffset val="100"/>
        <c:noMultiLvlLbl val="0"/>
      </c:catAx>
      <c:valAx>
        <c:axId val="2054235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4237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Dashboard.xlsx]Orders Answers!PivotTable11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Revenue</a:t>
            </a:r>
            <a:r>
              <a:rPr lang="en-GB" baseline="0"/>
              <a:t> Generated for Each day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Answers'!$E$14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'Orders Answers'!$D$15:$D$96</c:f>
              <c:strCache>
                <c:ptCount val="81"/>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04-Jul</c:v>
                </c:pt>
                <c:pt idx="20">
                  <c:v>05-Jul</c:v>
                </c:pt>
                <c:pt idx="21">
                  <c:v>06-Jul</c:v>
                </c:pt>
                <c:pt idx="22">
                  <c:v>07-Jul</c:v>
                </c:pt>
                <c:pt idx="23">
                  <c:v>08-Jul</c:v>
                </c:pt>
                <c:pt idx="24">
                  <c:v>09-Jul</c:v>
                </c:pt>
                <c:pt idx="25">
                  <c:v>10-Jul</c:v>
                </c:pt>
                <c:pt idx="26">
                  <c:v>11-Jul</c:v>
                </c:pt>
                <c:pt idx="27">
                  <c:v>12-Jul</c:v>
                </c:pt>
                <c:pt idx="28">
                  <c:v>13-Jul</c:v>
                </c:pt>
                <c:pt idx="29">
                  <c:v>14-Jul</c:v>
                </c:pt>
                <c:pt idx="30">
                  <c:v>15-Jul</c:v>
                </c:pt>
                <c:pt idx="31">
                  <c:v>16-Jul</c:v>
                </c:pt>
                <c:pt idx="32">
                  <c:v>17-Jul</c:v>
                </c:pt>
                <c:pt idx="33">
                  <c:v>18-Jul</c:v>
                </c:pt>
                <c:pt idx="34">
                  <c:v>19-Jul</c:v>
                </c:pt>
                <c:pt idx="35">
                  <c:v>20-Jul</c:v>
                </c:pt>
                <c:pt idx="36">
                  <c:v>21-Jul</c:v>
                </c:pt>
                <c:pt idx="37">
                  <c:v>22-Jul</c:v>
                </c:pt>
                <c:pt idx="38">
                  <c:v>23-Jul</c:v>
                </c:pt>
                <c:pt idx="39">
                  <c:v>24-Jul</c:v>
                </c:pt>
                <c:pt idx="40">
                  <c:v>26-Jul</c:v>
                </c:pt>
                <c:pt idx="41">
                  <c:v>27-Jul</c:v>
                </c:pt>
                <c:pt idx="42">
                  <c:v>28-Jul</c:v>
                </c:pt>
                <c:pt idx="43">
                  <c:v>29-Jul</c:v>
                </c:pt>
                <c:pt idx="44">
                  <c:v>30-Jul</c:v>
                </c:pt>
                <c:pt idx="45">
                  <c:v>31-Jul</c:v>
                </c:pt>
                <c:pt idx="46">
                  <c:v>01-Aug</c:v>
                </c:pt>
                <c:pt idx="47">
                  <c:v>02-Aug</c:v>
                </c:pt>
                <c:pt idx="48">
                  <c:v>03-Aug</c:v>
                </c:pt>
                <c:pt idx="49">
                  <c:v>04-Aug</c:v>
                </c:pt>
                <c:pt idx="50">
                  <c:v>05-Aug</c:v>
                </c:pt>
                <c:pt idx="51">
                  <c:v>06-Aug</c:v>
                </c:pt>
                <c:pt idx="52">
                  <c:v>07-Aug</c:v>
                </c:pt>
                <c:pt idx="53">
                  <c:v>08-Aug</c:v>
                </c:pt>
                <c:pt idx="54">
                  <c:v>09-Aug</c:v>
                </c:pt>
                <c:pt idx="55">
                  <c:v>10-Aug</c:v>
                </c:pt>
                <c:pt idx="56">
                  <c:v>11-Aug</c:v>
                </c:pt>
                <c:pt idx="57">
                  <c:v>12-Aug</c:v>
                </c:pt>
                <c:pt idx="58">
                  <c:v>13-Aug</c:v>
                </c:pt>
                <c:pt idx="59">
                  <c:v>14-Aug</c:v>
                </c:pt>
                <c:pt idx="60">
                  <c:v>15-Aug</c:v>
                </c:pt>
                <c:pt idx="61">
                  <c:v>16-Aug</c:v>
                </c:pt>
                <c:pt idx="62">
                  <c:v>17-Aug</c:v>
                </c:pt>
                <c:pt idx="63">
                  <c:v>18-Aug</c:v>
                </c:pt>
                <c:pt idx="64">
                  <c:v>19-Aug</c:v>
                </c:pt>
                <c:pt idx="65">
                  <c:v>20-Aug</c:v>
                </c:pt>
                <c:pt idx="66">
                  <c:v>21-Aug</c:v>
                </c:pt>
                <c:pt idx="67">
                  <c:v>22-Aug</c:v>
                </c:pt>
                <c:pt idx="68">
                  <c:v>23-Aug</c:v>
                </c:pt>
                <c:pt idx="69">
                  <c:v>24-Aug</c:v>
                </c:pt>
                <c:pt idx="70">
                  <c:v>25-Aug</c:v>
                </c:pt>
                <c:pt idx="71">
                  <c:v>26-Aug</c:v>
                </c:pt>
                <c:pt idx="72">
                  <c:v>27-Aug</c:v>
                </c:pt>
                <c:pt idx="73">
                  <c:v>28-Aug</c:v>
                </c:pt>
                <c:pt idx="74">
                  <c:v>29-Aug</c:v>
                </c:pt>
                <c:pt idx="75">
                  <c:v>30-Aug</c:v>
                </c:pt>
                <c:pt idx="76">
                  <c:v>01-Sep</c:v>
                </c:pt>
                <c:pt idx="77">
                  <c:v>02-Sep</c:v>
                </c:pt>
                <c:pt idx="78">
                  <c:v>03-Sep</c:v>
                </c:pt>
                <c:pt idx="79">
                  <c:v>04-Sep</c:v>
                </c:pt>
                <c:pt idx="80">
                  <c:v>05-Sep</c:v>
                </c:pt>
              </c:strCache>
            </c:strRef>
          </c:cat>
          <c:val>
            <c:numRef>
              <c:f>'Orders Answers'!$E$15:$E$96</c:f>
              <c:numCache>
                <c:formatCode>General</c:formatCode>
                <c:ptCount val="81"/>
                <c:pt idx="0">
                  <c:v>2782.9365615999282</c:v>
                </c:pt>
                <c:pt idx="1">
                  <c:v>1222.6346968938092</c:v>
                </c:pt>
                <c:pt idx="2">
                  <c:v>2226.4417643646593</c:v>
                </c:pt>
                <c:pt idx="3">
                  <c:v>1501.0413062449559</c:v>
                </c:pt>
                <c:pt idx="4">
                  <c:v>2523.537671943935</c:v>
                </c:pt>
                <c:pt idx="5">
                  <c:v>2241.4921953771359</c:v>
                </c:pt>
                <c:pt idx="6">
                  <c:v>2137.6204128679269</c:v>
                </c:pt>
                <c:pt idx="7">
                  <c:v>1802.3216753792221</c:v>
                </c:pt>
                <c:pt idx="8">
                  <c:v>1844.3607309886615</c:v>
                </c:pt>
                <c:pt idx="9">
                  <c:v>7984.2590345268572</c:v>
                </c:pt>
                <c:pt idx="10">
                  <c:v>4464.4641828994372</c:v>
                </c:pt>
                <c:pt idx="11">
                  <c:v>1505.2367194884569</c:v>
                </c:pt>
                <c:pt idx="12">
                  <c:v>4677.8009288183739</c:v>
                </c:pt>
                <c:pt idx="13">
                  <c:v>4683.8273777335271</c:v>
                </c:pt>
                <c:pt idx="14">
                  <c:v>1620.1467752619708</c:v>
                </c:pt>
                <c:pt idx="15">
                  <c:v>3718.7008312083485</c:v>
                </c:pt>
                <c:pt idx="16">
                  <c:v>1651.7869291675743</c:v>
                </c:pt>
                <c:pt idx="17">
                  <c:v>1204.3707242826163</c:v>
                </c:pt>
                <c:pt idx="18">
                  <c:v>1734.7947819760786</c:v>
                </c:pt>
                <c:pt idx="19">
                  <c:v>499.96848017302761</c:v>
                </c:pt>
                <c:pt idx="20">
                  <c:v>3166.9471440296502</c:v>
                </c:pt>
                <c:pt idx="21">
                  <c:v>1224.1932320491082</c:v>
                </c:pt>
                <c:pt idx="22">
                  <c:v>1563.3930659633875</c:v>
                </c:pt>
                <c:pt idx="23">
                  <c:v>1812.754337285174</c:v>
                </c:pt>
                <c:pt idx="24">
                  <c:v>1568.5627080349695</c:v>
                </c:pt>
                <c:pt idx="25">
                  <c:v>1956.2864769175651</c:v>
                </c:pt>
                <c:pt idx="26">
                  <c:v>4278.6459912687615</c:v>
                </c:pt>
                <c:pt idx="27">
                  <c:v>1727.2941319600066</c:v>
                </c:pt>
                <c:pt idx="28">
                  <c:v>1510.8080961590804</c:v>
                </c:pt>
                <c:pt idx="29">
                  <c:v>2608.8224479261908</c:v>
                </c:pt>
                <c:pt idx="30">
                  <c:v>999.0359719487941</c:v>
                </c:pt>
                <c:pt idx="31">
                  <c:v>935.9839838318253</c:v>
                </c:pt>
                <c:pt idx="32">
                  <c:v>2624.6453382218333</c:v>
                </c:pt>
                <c:pt idx="33">
                  <c:v>1187.2832708873279</c:v>
                </c:pt>
                <c:pt idx="34">
                  <c:v>1124.425226287588</c:v>
                </c:pt>
                <c:pt idx="35">
                  <c:v>2153.6679021335995</c:v>
                </c:pt>
                <c:pt idx="36">
                  <c:v>1167.7104076671576</c:v>
                </c:pt>
                <c:pt idx="37">
                  <c:v>1949.2389856446566</c:v>
                </c:pt>
                <c:pt idx="38">
                  <c:v>994.89696643157231</c:v>
                </c:pt>
                <c:pt idx="39">
                  <c:v>1041.4370094000838</c:v>
                </c:pt>
                <c:pt idx="40">
                  <c:v>40.170167939573354</c:v>
                </c:pt>
                <c:pt idx="41">
                  <c:v>2634.194192701329</c:v>
                </c:pt>
                <c:pt idx="42">
                  <c:v>604.5095359822509</c:v>
                </c:pt>
                <c:pt idx="43">
                  <c:v>1725.3612168945333</c:v>
                </c:pt>
                <c:pt idx="44">
                  <c:v>822.36247822207531</c:v>
                </c:pt>
                <c:pt idx="45">
                  <c:v>442.44800275366674</c:v>
                </c:pt>
                <c:pt idx="46">
                  <c:v>1356.6628350401877</c:v>
                </c:pt>
                <c:pt idx="47">
                  <c:v>978.65948620999256</c:v>
                </c:pt>
                <c:pt idx="48">
                  <c:v>597.11882004476877</c:v>
                </c:pt>
                <c:pt idx="49">
                  <c:v>500.49614875546627</c:v>
                </c:pt>
                <c:pt idx="50">
                  <c:v>142.43216080999892</c:v>
                </c:pt>
                <c:pt idx="51">
                  <c:v>307.08330520821147</c:v>
                </c:pt>
                <c:pt idx="52">
                  <c:v>341.94019965579741</c:v>
                </c:pt>
                <c:pt idx="53">
                  <c:v>650.71353880995616</c:v>
                </c:pt>
                <c:pt idx="54">
                  <c:v>1510.316465561184</c:v>
                </c:pt>
                <c:pt idx="55">
                  <c:v>578.09850631176926</c:v>
                </c:pt>
                <c:pt idx="56">
                  <c:v>251.52226173083369</c:v>
                </c:pt>
                <c:pt idx="57">
                  <c:v>374.99474906051506</c:v>
                </c:pt>
                <c:pt idx="58">
                  <c:v>643.10139221838415</c:v>
                </c:pt>
                <c:pt idx="59">
                  <c:v>1125.3601405353338</c:v>
                </c:pt>
                <c:pt idx="60">
                  <c:v>355.26504525700574</c:v>
                </c:pt>
                <c:pt idx="61">
                  <c:v>764.31910492510178</c:v>
                </c:pt>
                <c:pt idx="62">
                  <c:v>136.7370187796609</c:v>
                </c:pt>
                <c:pt idx="63">
                  <c:v>1219.2026489587327</c:v>
                </c:pt>
                <c:pt idx="64">
                  <c:v>1218.9025436994264</c:v>
                </c:pt>
                <c:pt idx="65">
                  <c:v>1582.8696625386608</c:v>
                </c:pt>
                <c:pt idx="66">
                  <c:v>2221.0717863475488</c:v>
                </c:pt>
                <c:pt idx="67">
                  <c:v>319.86462280667075</c:v>
                </c:pt>
                <c:pt idx="68">
                  <c:v>582.5452896377634</c:v>
                </c:pt>
                <c:pt idx="69">
                  <c:v>451.62780422720385</c:v>
                </c:pt>
                <c:pt idx="70">
                  <c:v>700.76540647086654</c:v>
                </c:pt>
                <c:pt idx="71">
                  <c:v>871.55024915194826</c:v>
                </c:pt>
                <c:pt idx="72">
                  <c:v>1668.0360594642766</c:v>
                </c:pt>
                <c:pt idx="73">
                  <c:v>702.90108738568597</c:v>
                </c:pt>
                <c:pt idx="74">
                  <c:v>770.8427540373973</c:v>
                </c:pt>
                <c:pt idx="75">
                  <c:v>789.52467894189408</c:v>
                </c:pt>
                <c:pt idx="76">
                  <c:v>158.19545915818915</c:v>
                </c:pt>
                <c:pt idx="77">
                  <c:v>984.78964020021454</c:v>
                </c:pt>
                <c:pt idx="78">
                  <c:v>227.97303260308195</c:v>
                </c:pt>
                <c:pt idx="79">
                  <c:v>1067.931219295855</c:v>
                </c:pt>
                <c:pt idx="80">
                  <c:v>1015.1321933349536</c:v>
                </c:pt>
              </c:numCache>
            </c:numRef>
          </c:val>
          <c:smooth val="0"/>
          <c:extLst>
            <c:ext xmlns:c16="http://schemas.microsoft.com/office/drawing/2014/chart" uri="{C3380CC4-5D6E-409C-BE32-E72D297353CC}">
              <c16:uniqueId val="{00000000-9074-F644-9CF9-BCFDFF2C29FE}"/>
            </c:ext>
          </c:extLst>
        </c:ser>
        <c:dLbls>
          <c:showLegendKey val="0"/>
          <c:showVal val="0"/>
          <c:showCatName val="0"/>
          <c:showSerName val="0"/>
          <c:showPercent val="0"/>
          <c:showBubbleSize val="0"/>
        </c:dLbls>
        <c:marker val="1"/>
        <c:smooth val="0"/>
        <c:axId val="1933243519"/>
        <c:axId val="2051124607"/>
      </c:lineChart>
      <c:catAx>
        <c:axId val="1933243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124607"/>
        <c:crosses val="autoZero"/>
        <c:auto val="1"/>
        <c:lblAlgn val="ctr"/>
        <c:lblOffset val="100"/>
        <c:noMultiLvlLbl val="0"/>
      </c:catAx>
      <c:valAx>
        <c:axId val="2051124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32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Dashboard.xlsx]Orders Answers!PivotTable10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Revenue</a:t>
            </a:r>
            <a:r>
              <a:rPr lang="en-GB" baseline="0"/>
              <a:t> for each Product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Answers'!$E$3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'Orders Answers'!$D$4:$D$10</c:f>
              <c:strCache>
                <c:ptCount val="6"/>
                <c:pt idx="0">
                  <c:v>PIZB0001</c:v>
                </c:pt>
                <c:pt idx="1">
                  <c:v>PIZB0002</c:v>
                </c:pt>
                <c:pt idx="2">
                  <c:v>PIZB0003</c:v>
                </c:pt>
                <c:pt idx="3">
                  <c:v>PIZB0004</c:v>
                </c:pt>
                <c:pt idx="4">
                  <c:v>PIZB0005</c:v>
                </c:pt>
                <c:pt idx="5">
                  <c:v>PIZB0006</c:v>
                </c:pt>
              </c:strCache>
            </c:strRef>
          </c:cat>
          <c:val>
            <c:numRef>
              <c:f>'Orders Answers'!$E$4:$E$10</c:f>
              <c:numCache>
                <c:formatCode>0</c:formatCode>
                <c:ptCount val="6"/>
                <c:pt idx="0">
                  <c:v>27034.756550610386</c:v>
                </c:pt>
                <c:pt idx="1">
                  <c:v>25166.607659340036</c:v>
                </c:pt>
                <c:pt idx="2">
                  <c:v>24662.186146866577</c:v>
                </c:pt>
                <c:pt idx="3">
                  <c:v>26736.048598350149</c:v>
                </c:pt>
                <c:pt idx="4">
                  <c:v>13149.378721933506</c:v>
                </c:pt>
                <c:pt idx="5">
                  <c:v>4312.3917098121437</c:v>
                </c:pt>
              </c:numCache>
            </c:numRef>
          </c:val>
          <c:extLst>
            <c:ext xmlns:c16="http://schemas.microsoft.com/office/drawing/2014/chart" uri="{C3380CC4-5D6E-409C-BE32-E72D297353CC}">
              <c16:uniqueId val="{00000000-F43B-7B48-8E1B-BA5FCA4B0661}"/>
            </c:ext>
          </c:extLst>
        </c:ser>
        <c:dLbls>
          <c:showLegendKey val="0"/>
          <c:showVal val="0"/>
          <c:showCatName val="0"/>
          <c:showSerName val="0"/>
          <c:showPercent val="0"/>
          <c:showBubbleSize val="0"/>
        </c:dLbls>
        <c:gapWidth val="100"/>
        <c:overlap val="-24"/>
        <c:axId val="1925424767"/>
        <c:axId val="1926396351"/>
      </c:barChart>
      <c:catAx>
        <c:axId val="1925424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396351"/>
        <c:crosses val="autoZero"/>
        <c:auto val="1"/>
        <c:lblAlgn val="ctr"/>
        <c:lblOffset val="100"/>
        <c:noMultiLvlLbl val="0"/>
      </c:catAx>
      <c:valAx>
        <c:axId val="19263963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542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18</xdr:col>
      <xdr:colOff>215900</xdr:colOff>
      <xdr:row>6</xdr:row>
      <xdr:rowOff>88900</xdr:rowOff>
    </xdr:from>
    <xdr:ext cx="5842000" cy="1297022"/>
    <xdr:sp macro="" textlink="">
      <xdr:nvSpPr>
        <xdr:cNvPr id="4" name="TextBox 3">
          <a:extLst>
            <a:ext uri="{FF2B5EF4-FFF2-40B4-BE49-F238E27FC236}">
              <a16:creationId xmlns:a16="http://schemas.microsoft.com/office/drawing/2014/main" id="{3515AC29-A7F0-4418-AD89-5577C51FD598}"/>
            </a:ext>
          </a:extLst>
        </xdr:cNvPr>
        <xdr:cNvSpPr txBox="1"/>
      </xdr:nvSpPr>
      <xdr:spPr>
        <a:xfrm>
          <a:off x="18173700" y="1155700"/>
          <a:ext cx="5842000" cy="129702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0" i="0" u="none" strike="noStrike">
              <a:solidFill>
                <a:schemeClr val="tx1"/>
              </a:solidFill>
              <a:effectLst/>
              <a:latin typeface="+mn-lt"/>
              <a:ea typeface="+mn-ea"/>
              <a:cs typeface="+mn-cs"/>
            </a:rPr>
            <a:t>Total Orders, Total Revenue, Average Revenue, Average Discount Given</a:t>
          </a:r>
          <a:r>
            <a:rPr lang="en-IN">
              <a:effectLst/>
            </a:rPr>
            <a:t> </a:t>
          </a:r>
        </a:p>
        <a:p>
          <a:r>
            <a:rPr lang="en-IN" sz="1100" b="0" i="0" u="none" strike="noStrike">
              <a:solidFill>
                <a:schemeClr val="tx1"/>
              </a:solidFill>
              <a:effectLst/>
              <a:latin typeface="+mn-lt"/>
              <a:ea typeface="+mn-ea"/>
              <a:cs typeface="+mn-cs"/>
            </a:rPr>
            <a:t>Most Ordered Products</a:t>
          </a:r>
          <a:r>
            <a:rPr lang="en-IN">
              <a:effectLst/>
            </a:rPr>
            <a:t> </a:t>
          </a:r>
        </a:p>
        <a:p>
          <a:r>
            <a:rPr lang="en-IN" sz="1100" b="0" i="0" u="none" strike="noStrike">
              <a:solidFill>
                <a:schemeClr val="tx1"/>
              </a:solidFill>
              <a:effectLst/>
              <a:latin typeface="+mn-lt"/>
              <a:ea typeface="+mn-ea"/>
              <a:cs typeface="+mn-cs"/>
            </a:rPr>
            <a:t>Trend of no of Sales for Each Day</a:t>
          </a:r>
          <a:r>
            <a:rPr lang="en-IN">
              <a:effectLst/>
            </a:rPr>
            <a:t> </a:t>
          </a:r>
        </a:p>
        <a:p>
          <a:r>
            <a:rPr lang="en-IN" sz="1100" b="0" i="0" u="none" strike="noStrike">
              <a:solidFill>
                <a:schemeClr val="tx1"/>
              </a:solidFill>
              <a:effectLst/>
              <a:latin typeface="+mn-lt"/>
              <a:ea typeface="+mn-ea"/>
              <a:cs typeface="+mn-cs"/>
            </a:rPr>
            <a:t>Trend of Revenue Generated for each day</a:t>
          </a:r>
          <a:r>
            <a:rPr lang="en-IN">
              <a:effectLst/>
            </a:rPr>
            <a:t> </a:t>
          </a:r>
        </a:p>
        <a:p>
          <a:r>
            <a:rPr lang="en-IN" sz="1100" b="0" i="0" u="none" strike="noStrike">
              <a:solidFill>
                <a:schemeClr val="tx1"/>
              </a:solidFill>
              <a:effectLst/>
              <a:latin typeface="+mn-lt"/>
              <a:ea typeface="+mn-ea"/>
              <a:cs typeface="+mn-cs"/>
            </a:rPr>
            <a:t>Trend of Revenue Generated for Each Product</a:t>
          </a:r>
          <a:r>
            <a:rPr lang="en-IN">
              <a:effectLst/>
            </a:rPr>
            <a:t> </a:t>
          </a:r>
        </a:p>
        <a:p>
          <a:r>
            <a:rPr lang="en-IN" sz="1100" b="0" i="0" u="none" strike="noStrike">
              <a:solidFill>
                <a:schemeClr val="tx1"/>
              </a:solidFill>
              <a:effectLst/>
              <a:latin typeface="+mn-lt"/>
              <a:ea typeface="+mn-ea"/>
              <a:cs typeface="+mn-cs"/>
            </a:rPr>
            <a:t>Multiple Views for Online and Offline orders (using Slicers)</a:t>
          </a:r>
          <a:r>
            <a:rPr lang="en-IN">
              <a:effectLst/>
            </a:rPr>
            <a:t> </a:t>
          </a:r>
        </a:p>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6</xdr:col>
      <xdr:colOff>698500</xdr:colOff>
      <xdr:row>23</xdr:row>
      <xdr:rowOff>165100</xdr:rowOff>
    </xdr:to>
    <xdr:graphicFrame macro="">
      <xdr:nvGraphicFramePr>
        <xdr:cNvPr id="2" name="Chart 1">
          <a:extLst>
            <a:ext uri="{FF2B5EF4-FFF2-40B4-BE49-F238E27FC236}">
              <a16:creationId xmlns:a16="http://schemas.microsoft.com/office/drawing/2014/main" id="{8EE72675-EEC9-9644-98B9-4740BDEF5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673100</xdr:colOff>
      <xdr:row>8</xdr:row>
      <xdr:rowOff>114300</xdr:rowOff>
    </xdr:from>
    <xdr:to>
      <xdr:col>13</xdr:col>
      <xdr:colOff>431800</xdr:colOff>
      <xdr:row>23</xdr:row>
      <xdr:rowOff>127000</xdr:rowOff>
    </xdr:to>
    <xdr:graphicFrame macro="">
      <xdr:nvGraphicFramePr>
        <xdr:cNvPr id="3" name="Chart 2">
          <a:extLst>
            <a:ext uri="{FF2B5EF4-FFF2-40B4-BE49-F238E27FC236}">
              <a16:creationId xmlns:a16="http://schemas.microsoft.com/office/drawing/2014/main" id="{E7E70733-968E-C74F-8652-4D5321030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38100</xdr:rowOff>
    </xdr:from>
    <xdr:to>
      <xdr:col>6</xdr:col>
      <xdr:colOff>749300</xdr:colOff>
      <xdr:row>40</xdr:row>
      <xdr:rowOff>16934</xdr:rowOff>
    </xdr:to>
    <xdr:graphicFrame macro="">
      <xdr:nvGraphicFramePr>
        <xdr:cNvPr id="4" name="Chart 3">
          <a:extLst>
            <a:ext uri="{FF2B5EF4-FFF2-40B4-BE49-F238E27FC236}">
              <a16:creationId xmlns:a16="http://schemas.microsoft.com/office/drawing/2014/main" id="{2E2FCDC9-62C7-104A-BB37-0C298615D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660400</xdr:colOff>
      <xdr:row>25</xdr:row>
      <xdr:rowOff>38100</xdr:rowOff>
    </xdr:from>
    <xdr:to>
      <xdr:col>13</xdr:col>
      <xdr:colOff>457200</xdr:colOff>
      <xdr:row>39</xdr:row>
      <xdr:rowOff>165100</xdr:rowOff>
    </xdr:to>
    <xdr:graphicFrame macro="">
      <xdr:nvGraphicFramePr>
        <xdr:cNvPr id="5" name="Chart 4">
          <a:extLst>
            <a:ext uri="{FF2B5EF4-FFF2-40B4-BE49-F238E27FC236}">
              <a16:creationId xmlns:a16="http://schemas.microsoft.com/office/drawing/2014/main" id="{F13CEFBF-1590-7C41-A0AB-59714467C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16</xdr:row>
      <xdr:rowOff>139700</xdr:rowOff>
    </xdr:from>
    <xdr:to>
      <xdr:col>16</xdr:col>
      <xdr:colOff>779182</xdr:colOff>
      <xdr:row>21</xdr:row>
      <xdr:rowOff>76200</xdr:rowOff>
    </xdr:to>
    <mc:AlternateContent xmlns:mc="http://schemas.openxmlformats.org/markup-compatibility/2006" xmlns:a14="http://schemas.microsoft.com/office/drawing/2010/main">
      <mc:Choice Requires="a14">
        <xdr:graphicFrame macro="">
          <xdr:nvGraphicFramePr>
            <xdr:cNvPr id="6" name="Order Type">
              <a:extLst>
                <a:ext uri="{FF2B5EF4-FFF2-40B4-BE49-F238E27FC236}">
                  <a16:creationId xmlns:a16="http://schemas.microsoft.com/office/drawing/2014/main" id="{19B24494-2B57-C148-B57B-58C17F0609F3}"/>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2382500" y="3187700"/>
              <a:ext cx="1892300"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Yadav" refreshedDate="46223.542789120373" createdVersion="8" refreshedVersion="8" minRefreshableVersion="3" recordCount="794" xr:uid="{4CE052C3-2475-8646-A86B-871C2F7FE9AE}">
  <cacheSource type="worksheet">
    <worksheetSource name="Table_3"/>
  </cacheSource>
  <cacheFields count="12">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Product Name" numFmtId="0">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3.0959240526634568E-3" maxValue="0.99817658128489728"/>
    </cacheField>
    <cacheField name="Revenue" numFmtId="0">
      <sharedItems containsSemiMixedTypes="0" containsString="0" containsNumber="1" minValue="1.1852221648167682" maxValue="980.97202334597569"/>
    </cacheField>
    <cacheField name="Days (Sale Date)" numFmtId="0" databaseField="0">
      <fieldGroup base="2">
        <rangePr groupBy="days" startDate="2022-06-13T00:00:00" endDate="2022-09-07T00:00:00"/>
        <groupItems count="368">
          <s v="&lt;13/06/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2"/>
        </groupItems>
      </fieldGroup>
    </cacheField>
    <cacheField name="Months (Sale Date)" numFmtId="0" databaseField="0">
      <fieldGroup base="2">
        <rangePr groupBy="months" startDate="2022-06-13T00:00:00" endDate="2022-09-07T00:00:00"/>
        <groupItems count="14">
          <s v="&lt;13/06/22"/>
          <s v="Jan"/>
          <s v="Feb"/>
          <s v="Mar"/>
          <s v="Apr"/>
          <s v="May"/>
          <s v="Jun"/>
          <s v="Jul"/>
          <s v="Aug"/>
          <s v="Sep"/>
          <s v="Oct"/>
          <s v="Nov"/>
          <s v="Dec"/>
          <s v="&gt;07/09/22"/>
        </groupItems>
      </fieldGroup>
    </cacheField>
  </cacheFields>
  <extLst>
    <ext xmlns:x14="http://schemas.microsoft.com/office/spreadsheetml/2009/9/main" uri="{725AE2AE-9491-48be-B2B4-4EB974FC3084}">
      <x14:pivotCacheDefinition pivotCacheId="85122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s v="Paneer Tikka Pizzabun"/>
    <x v="0"/>
    <n v="72"/>
    <s v="Roch Cousineau"/>
    <n v="8"/>
    <n v="1.372080123313592E-2"/>
    <n v="568.09681848971377"/>
  </r>
  <r>
    <s v="PBOR00002"/>
    <x v="1"/>
    <x v="1"/>
    <s v="Crispy Chole Pizzabun"/>
    <x v="1"/>
    <n v="65"/>
    <s v="Adrien Martin"/>
    <n v="7"/>
    <n v="2.2083854314921911E-2"/>
    <n v="444.95184628671052"/>
  </r>
  <r>
    <s v="PBOR00003"/>
    <x v="2"/>
    <x v="2"/>
    <s v="Large Paneer Tikka Pizzabun"/>
    <x v="0"/>
    <n v="250"/>
    <s v="Albain Forestier"/>
    <n v="3"/>
    <n v="0.92842323956324613"/>
    <n v="53.682570327565401"/>
  </r>
  <r>
    <s v="PBOR00004"/>
    <x v="3"/>
    <x v="3"/>
    <s v="Medium Crispy Chole Pizzabun"/>
    <x v="1"/>
    <n v="130"/>
    <s v="Roch Cousineau"/>
    <n v="5"/>
    <n v="0.20990358910221096"/>
    <n v="513.56266708356293"/>
  </r>
  <r>
    <s v="PBOR00005"/>
    <x v="0"/>
    <x v="4"/>
    <s v="Paneer Tikka Pizzabun"/>
    <x v="0"/>
    <n v="72"/>
    <s v="Adrien Martin"/>
    <n v="4"/>
    <n v="0.184343159134289"/>
    <n v="234.90917016932477"/>
  </r>
  <r>
    <s v="PBOR00006"/>
    <x v="1"/>
    <x v="5"/>
    <s v="Crispy Chole Pizzabun"/>
    <x v="1"/>
    <n v="65"/>
    <s v="Albain Forestier"/>
    <n v="8"/>
    <n v="0.11144429073382323"/>
    <n v="462.04896881841194"/>
  </r>
  <r>
    <s v="PBOR00007"/>
    <x v="2"/>
    <x v="1"/>
    <s v="Large Paneer Tikka Pizzabun"/>
    <x v="0"/>
    <n v="250"/>
    <s v="Roch Cousineau"/>
    <n v="3"/>
    <n v="0.56286929186816415"/>
    <n v="327.8480310988769"/>
  </r>
  <r>
    <s v="PBOR00009"/>
    <x v="3"/>
    <x v="6"/>
    <s v="Medium Crispy Chole Pizzabun"/>
    <x v="1"/>
    <n v="130"/>
    <s v="Adrien Martin"/>
    <n v="6"/>
    <n v="3.138956050307417E-2"/>
    <n v="755.51614280760214"/>
  </r>
  <r>
    <s v="PBOR00010"/>
    <x v="4"/>
    <x v="7"/>
    <s v="Minty Pizzabun"/>
    <x v="0"/>
    <n v="60"/>
    <s v="Albain Forestier"/>
    <n v="7"/>
    <n v="0.23798278495106248"/>
    <n v="320.04723032055375"/>
  </r>
  <r>
    <s v="PBOR00011"/>
    <x v="0"/>
    <x v="6"/>
    <s v="Paneer Tikka Pizzabun"/>
    <x v="1"/>
    <n v="72"/>
    <s v="Roch Cousineau"/>
    <n v="9"/>
    <n v="0.19712344024473996"/>
    <n v="520.26401072140857"/>
  </r>
  <r>
    <s v="PBOR00012"/>
    <x v="1"/>
    <x v="2"/>
    <s v="Crispy Chole Pizzabun"/>
    <x v="0"/>
    <n v="65"/>
    <s v="Adrien Martin"/>
    <n v="4"/>
    <n v="6.8295799738434873E-2"/>
    <n v="242.24309206800692"/>
  </r>
  <r>
    <s v="PBOR00013"/>
    <x v="2"/>
    <x v="8"/>
    <s v="Large Paneer Tikka Pizzabun"/>
    <x v="1"/>
    <n v="250"/>
    <s v="Albain Forestier"/>
    <n v="3"/>
    <n v="1.6828522965904168E-2"/>
    <n v="737.37860777557182"/>
  </r>
  <r>
    <s v="PBOR00014"/>
    <x v="3"/>
    <x v="9"/>
    <s v="Medium Crispy Chole Pizzabun"/>
    <x v="0"/>
    <n v="130"/>
    <s v="Roch Cousineau"/>
    <n v="5"/>
    <n v="0.26661284065553453"/>
    <n v="476.70165357390249"/>
  </r>
  <r>
    <s v="PBOR00015"/>
    <x v="0"/>
    <x v="4"/>
    <s v="Paneer Tikka Pizzabun"/>
    <x v="1"/>
    <n v="72"/>
    <s v="Adrien Martin"/>
    <n v="12"/>
    <n v="0.21251347110701568"/>
    <n v="680.3883609635385"/>
  </r>
  <r>
    <s v="PBOR00016"/>
    <x v="1"/>
    <x v="10"/>
    <s v="Crispy Chole Pizzabun"/>
    <x v="0"/>
    <n v="65"/>
    <s v="Albain Forestier"/>
    <n v="4"/>
    <n v="0.10994257661413849"/>
    <n v="231.41493008032398"/>
  </r>
  <r>
    <s v="PBOR00017"/>
    <x v="2"/>
    <x v="10"/>
    <s v="Large Paneer Tikka Pizzabun"/>
    <x v="1"/>
    <n v="250"/>
    <s v="Roch Cousineau"/>
    <n v="3"/>
    <n v="0.53607498908607099"/>
    <n v="347.94375818544677"/>
  </r>
  <r>
    <s v="PBOR00018"/>
    <x v="3"/>
    <x v="6"/>
    <s v="Medium Crispy Chole Pizzabun"/>
    <x v="0"/>
    <n v="130"/>
    <s v="Adrien Martin"/>
    <n v="5"/>
    <n v="3.7515550327758003E-2"/>
    <n v="625.61489228695734"/>
  </r>
  <r>
    <s v="PBOR00019"/>
    <x v="4"/>
    <x v="9"/>
    <s v="Minty Pizzabun"/>
    <x v="0"/>
    <n v="60"/>
    <s v="Albain Forestier"/>
    <n v="13"/>
    <n v="2.4938289886663061E-2"/>
    <n v="760.54813388840284"/>
  </r>
  <r>
    <s v="PBOR00020"/>
    <x v="5"/>
    <x v="10"/>
    <s v="Aloo Shots Pizzabun"/>
    <x v="1"/>
    <n v="95"/>
    <s v="Roch Cousineau"/>
    <n v="5"/>
    <n v="1.0123391970414241E-2"/>
    <n v="470.19138881405325"/>
  </r>
  <r>
    <s v="PBOR00021"/>
    <x v="0"/>
    <x v="9"/>
    <s v="Paneer Tikka Pizzabun"/>
    <x v="1"/>
    <n v="72"/>
    <s v="Adrien Martin"/>
    <n v="5"/>
    <n v="0.1308869366379137"/>
    <n v="312.88070281035107"/>
  </r>
  <r>
    <s v="PBOR00022"/>
    <x v="1"/>
    <x v="10"/>
    <s v="Crispy Chole Pizzabun"/>
    <x v="1"/>
    <n v="65"/>
    <s v="Albain Forestier"/>
    <n v="4"/>
    <n v="6.6961969492996459E-2"/>
    <n v="242.58988793182093"/>
  </r>
  <r>
    <s v="PBOR00023"/>
    <x v="2"/>
    <x v="2"/>
    <s v="Large Paneer Tikka Pizzabun"/>
    <x v="0"/>
    <n v="250"/>
    <s v="Roch Cousineau"/>
    <n v="3"/>
    <n v="0.36350761794645753"/>
    <n v="477.36928654015679"/>
  </r>
  <r>
    <s v="PBOR00024"/>
    <x v="3"/>
    <x v="11"/>
    <s v="Medium Crispy Chole Pizzabun"/>
    <x v="0"/>
    <n v="130"/>
    <s v="Adrien Martin"/>
    <n v="6"/>
    <n v="0.30841415491993102"/>
    <n v="539.43695916245372"/>
  </r>
  <r>
    <s v="PBOR00025"/>
    <x v="0"/>
    <x v="9"/>
    <s v="Paneer Tikka Pizzabun"/>
    <x v="0"/>
    <n v="72"/>
    <s v="Albain Forestier"/>
    <n v="8"/>
    <n v="0.21287301321989574"/>
    <n v="453.38514438534008"/>
  </r>
  <r>
    <s v="PBOR00026"/>
    <x v="1"/>
    <x v="12"/>
    <s v="Crispy Chole Pizzabun"/>
    <x v="0"/>
    <n v="65"/>
    <s v="Roch Cousineau"/>
    <n v="5"/>
    <n v="0.11047742601795077"/>
    <n v="289.09483654416601"/>
  </r>
  <r>
    <s v="PBOR00027"/>
    <x v="2"/>
    <x v="4"/>
    <s v="Large Paneer Tikka Pizzabun"/>
    <x v="0"/>
    <n v="250"/>
    <s v="Adrien Martin"/>
    <n v="2"/>
    <n v="4.8799156151631218E-2"/>
    <n v="475.60042192418439"/>
  </r>
  <r>
    <s v="PBOR00035"/>
    <x v="3"/>
    <x v="10"/>
    <s v="Medium Crispy Chole Pizzabun"/>
    <x v="0"/>
    <n v="130"/>
    <s v="Albain Forestier"/>
    <n v="3"/>
    <n v="0.27879506176921365"/>
    <n v="281.26992591000669"/>
  </r>
  <r>
    <s v="PBOR00029"/>
    <x v="4"/>
    <x v="10"/>
    <s v="Minty Pizzabun"/>
    <x v="0"/>
    <n v="60"/>
    <s v="Roch Cousineau"/>
    <n v="14"/>
    <n v="7.6045534046593019E-2"/>
    <n v="776.12175140086185"/>
  </r>
  <r>
    <s v="PBOR00030"/>
    <x v="0"/>
    <x v="2"/>
    <s v="Paneer Tikka Pizzabun"/>
    <x v="0"/>
    <n v="72"/>
    <s v="Adrien Martin"/>
    <n v="12"/>
    <n v="0.12055762754740325"/>
    <n v="759.83820979904351"/>
  </r>
  <r>
    <s v="PBOR00031"/>
    <x v="1"/>
    <x v="5"/>
    <s v="Crispy Chole Pizzabun"/>
    <x v="0"/>
    <n v="65"/>
    <s v="Albain Forestier"/>
    <n v="5"/>
    <n v="0.30283946337780637"/>
    <n v="226.5771744022129"/>
  </r>
  <r>
    <s v="PBOR00032"/>
    <x v="2"/>
    <x v="11"/>
    <s v="Large Paneer Tikka Pizzabun"/>
    <x v="1"/>
    <n v="250"/>
    <s v="Roch Cousineau"/>
    <n v="1"/>
    <n v="0.41401829873258272"/>
    <n v="146.49542531685432"/>
  </r>
  <r>
    <s v="PBOR00033"/>
    <x v="3"/>
    <x v="13"/>
    <s v="Medium Crispy Chole Pizzabun"/>
    <x v="0"/>
    <n v="130"/>
    <s v="Adrien Martin"/>
    <n v="4"/>
    <n v="6.1603660271292333E-3"/>
    <n v="516.79660966589279"/>
  </r>
  <r>
    <s v="PBOR00036"/>
    <x v="0"/>
    <x v="14"/>
    <s v="Paneer Tikka Pizzabun"/>
    <x v="0"/>
    <n v="72"/>
    <s v="Albain Forestier"/>
    <n v="8"/>
    <n v="0.10495963672233184"/>
    <n v="515.54324924793684"/>
  </r>
  <r>
    <s v="PBOR00037"/>
    <x v="1"/>
    <x v="9"/>
    <s v="Crispy Chole Pizzabun"/>
    <x v="0"/>
    <n v="65"/>
    <s v="Roch Cousineau"/>
    <n v="12"/>
    <n v="0.29377273906475571"/>
    <n v="550.85726352949052"/>
  </r>
  <r>
    <s v="PBOR00038"/>
    <x v="2"/>
    <x v="7"/>
    <s v="Large Paneer Tikka Pizzabun"/>
    <x v="0"/>
    <n v="250"/>
    <s v="Adrien Martin"/>
    <n v="3"/>
    <n v="0.56559810101924179"/>
    <n v="325.80142423556867"/>
  </r>
  <r>
    <s v="PBOR00040"/>
    <x v="3"/>
    <x v="15"/>
    <s v="Medium Crispy Chole Pizzabun"/>
    <x v="0"/>
    <n v="130"/>
    <s v="Albain Forestier"/>
    <n v="3"/>
    <n v="0.14180367825735268"/>
    <n v="334.69656547963245"/>
  </r>
  <r>
    <s v="PBOR00041"/>
    <x v="4"/>
    <x v="15"/>
    <s v="Minty Pizzabun"/>
    <x v="1"/>
    <n v="60"/>
    <s v="Roch Cousineau"/>
    <n v="11"/>
    <n v="0.19727585407121537"/>
    <n v="529.79793631299788"/>
  </r>
  <r>
    <s v="PBOR00042"/>
    <x v="5"/>
    <x v="8"/>
    <s v="Aloo Shots Pizzabun"/>
    <x v="0"/>
    <n v="95"/>
    <s v="Adrien Martin"/>
    <n v="8"/>
    <n v="0.16026707373910823"/>
    <n v="638.19702395827778"/>
  </r>
  <r>
    <s v="PBOR00043"/>
    <x v="0"/>
    <x v="4"/>
    <s v="Paneer Tikka Pizzabun"/>
    <x v="0"/>
    <n v="72"/>
    <s v="Albain Forestier"/>
    <n v="5"/>
    <n v="3.6754234817017679E-2"/>
    <n v="346.76847546587362"/>
  </r>
  <r>
    <s v="PBOR00044"/>
    <x v="1"/>
    <x v="12"/>
    <s v="Crispy Chole Pizzabun"/>
    <x v="0"/>
    <n v="65"/>
    <s v="Roch Cousineau"/>
    <n v="6"/>
    <n v="0.12047427034169578"/>
    <n v="343.01503456673862"/>
  </r>
  <r>
    <s v="PBOR00045"/>
    <x v="2"/>
    <x v="5"/>
    <s v="Large Paneer Tikka Pizzabun"/>
    <x v="1"/>
    <n v="250"/>
    <s v="Adrien Martin"/>
    <n v="1"/>
    <n v="0.38636401364592987"/>
    <n v="153.40899658851754"/>
  </r>
  <r>
    <s v="PBOR00046"/>
    <x v="3"/>
    <x v="8"/>
    <s v="Medium Crispy Chole Pizzabun"/>
    <x v="1"/>
    <n v="130"/>
    <s v="Albain Forestier"/>
    <n v="7"/>
    <n v="0.25111930985495906"/>
    <n v="681.48142803198721"/>
  </r>
  <r>
    <s v="PBOR00047"/>
    <x v="0"/>
    <x v="15"/>
    <s v="Paneer Tikka Pizzabun"/>
    <x v="1"/>
    <n v="72"/>
    <s v="Roch Cousineau"/>
    <n v="7"/>
    <n v="0.18099169049889144"/>
    <n v="412.78018798855874"/>
  </r>
  <r>
    <s v="PBOR00048"/>
    <x v="1"/>
    <x v="10"/>
    <s v="Crispy Chole Pizzabun"/>
    <x v="1"/>
    <n v="65"/>
    <s v="Adrien Martin"/>
    <n v="3"/>
    <n v="0.17363786365000505"/>
    <n v="161.140616588249"/>
  </r>
  <r>
    <s v="PBOR00049"/>
    <x v="2"/>
    <x v="9"/>
    <s v="Large Paneer Tikka Pizzabun"/>
    <x v="1"/>
    <n v="250"/>
    <s v="Albain Forestier"/>
    <n v="1"/>
    <n v="0.75489814137474298"/>
    <n v="61.275464656314256"/>
  </r>
  <r>
    <s v="PBOR00050"/>
    <x v="3"/>
    <x v="7"/>
    <s v="Medium Crispy Chole Pizzabun"/>
    <x v="1"/>
    <n v="130"/>
    <s v="Roch Cousineau"/>
    <n v="6"/>
    <n v="0.41826226246410803"/>
    <n v="453.75543527799573"/>
  </r>
  <r>
    <s v="PBOR00051"/>
    <x v="0"/>
    <x v="14"/>
    <s v="Paneer Tikka Pizzabun"/>
    <x v="0"/>
    <n v="72"/>
    <s v="Roch Cousineau"/>
    <n v="4"/>
    <n v="1.372080123313592E-2"/>
    <n v="284.04840924485688"/>
  </r>
  <r>
    <s v="PBOR00052"/>
    <x v="1"/>
    <x v="16"/>
    <s v="Crispy Chole Pizzabun"/>
    <x v="1"/>
    <n v="65"/>
    <s v="Adrien Martin"/>
    <n v="6"/>
    <n v="2.2083854314921911E-2"/>
    <n v="381.38729681718047"/>
  </r>
  <r>
    <s v="PBOR00053"/>
    <x v="2"/>
    <x v="17"/>
    <s v="Large Paneer Tikka Pizzabun"/>
    <x v="0"/>
    <n v="250"/>
    <s v="Albain Forestier"/>
    <n v="3"/>
    <n v="0.92842323956324613"/>
    <n v="53.682570327565401"/>
  </r>
  <r>
    <s v="PBOR00054"/>
    <x v="3"/>
    <x v="17"/>
    <s v="Medium Crispy Chole Pizzabun"/>
    <x v="1"/>
    <n v="130"/>
    <s v="Roch Cousineau"/>
    <n v="2"/>
    <n v="0.20990358910221096"/>
    <n v="205.42506683342515"/>
  </r>
  <r>
    <s v="PBOR00055"/>
    <x v="0"/>
    <x v="5"/>
    <s v="Paneer Tikka Pizzabun"/>
    <x v="0"/>
    <n v="72"/>
    <s v="Adrien Martin"/>
    <n v="5"/>
    <n v="0.184343159134289"/>
    <n v="293.63646271165595"/>
  </r>
  <r>
    <s v="PBOR00056"/>
    <x v="1"/>
    <x v="16"/>
    <s v="Crispy Chole Pizzabun"/>
    <x v="1"/>
    <n v="65"/>
    <s v="Albain Forestier"/>
    <n v="8"/>
    <n v="0.11144429073382323"/>
    <n v="462.04896881841194"/>
  </r>
  <r>
    <s v="PBOR00057"/>
    <x v="2"/>
    <x v="1"/>
    <s v="Large Paneer Tikka Pizzabun"/>
    <x v="0"/>
    <n v="250"/>
    <s v="Roch Cousineau"/>
    <n v="3"/>
    <n v="0.56286929186816415"/>
    <n v="327.8480310988769"/>
  </r>
  <r>
    <s v="PBOR00058"/>
    <x v="3"/>
    <x v="18"/>
    <s v="Medium Crispy Chole Pizzabun"/>
    <x v="1"/>
    <n v="130"/>
    <s v="Adrien Martin"/>
    <n v="3"/>
    <n v="3.138956050307417E-2"/>
    <n v="377.75807140380107"/>
  </r>
  <r>
    <s v="PBOR00059"/>
    <x v="4"/>
    <x v="3"/>
    <s v="Minty Pizzabun"/>
    <x v="0"/>
    <n v="60"/>
    <s v="Albain Forestier"/>
    <n v="13"/>
    <n v="0.23798278495106248"/>
    <n v="594.37342773817124"/>
  </r>
  <r>
    <s v="PBOR00060"/>
    <x v="0"/>
    <x v="19"/>
    <s v="Paneer Tikka Pizzabun"/>
    <x v="1"/>
    <n v="72"/>
    <s v="Roch Cousineau"/>
    <n v="5"/>
    <n v="0.19712344024473996"/>
    <n v="289.0355615118936"/>
  </r>
  <r>
    <s v="PBOR00061"/>
    <x v="1"/>
    <x v="20"/>
    <s v="Crispy Chole Pizzabun"/>
    <x v="0"/>
    <n v="65"/>
    <s v="Adrien Martin"/>
    <n v="7"/>
    <n v="6.8295799738434873E-2"/>
    <n v="423.9254111190121"/>
  </r>
  <r>
    <s v="PBOR00062"/>
    <x v="2"/>
    <x v="21"/>
    <s v="Large Paneer Tikka Pizzabun"/>
    <x v="1"/>
    <n v="250"/>
    <s v="Albain Forestier"/>
    <n v="3"/>
    <n v="1.6828522965904168E-2"/>
    <n v="737.37860777557182"/>
  </r>
  <r>
    <s v="PBOR00063"/>
    <x v="3"/>
    <x v="22"/>
    <s v="Medium Crispy Chole Pizzabun"/>
    <x v="0"/>
    <n v="130"/>
    <s v="Roch Cousineau"/>
    <n v="6"/>
    <n v="0.26661284065553453"/>
    <n v="572.04198428868301"/>
  </r>
  <r>
    <s v="PBOR00064"/>
    <x v="0"/>
    <x v="23"/>
    <s v="Paneer Tikka Pizzabun"/>
    <x v="1"/>
    <n v="72"/>
    <s v="Adrien Martin"/>
    <n v="11"/>
    <n v="0.21251347110701568"/>
    <n v="623.68933088324354"/>
  </r>
  <r>
    <s v="PBOR00065"/>
    <x v="1"/>
    <x v="24"/>
    <s v="Crispy Chole Pizzabun"/>
    <x v="0"/>
    <n v="65"/>
    <s v="Albain Forestier"/>
    <n v="12"/>
    <n v="0.10994257661413849"/>
    <n v="694.24479024097195"/>
  </r>
  <r>
    <s v="PBOR00066"/>
    <x v="2"/>
    <x v="16"/>
    <s v="Large Paneer Tikka Pizzabun"/>
    <x v="1"/>
    <n v="250"/>
    <s v="Roch Cousineau"/>
    <n v="2"/>
    <n v="0.53607498908607099"/>
    <n v="231.96250545696449"/>
  </r>
  <r>
    <s v="PBOR00067"/>
    <x v="3"/>
    <x v="25"/>
    <s v="Medium Crispy Chole Pizzabun"/>
    <x v="0"/>
    <n v="130"/>
    <s v="Adrien Martin"/>
    <n v="6"/>
    <n v="3.7515550327758003E-2"/>
    <n v="750.73787074434881"/>
  </r>
  <r>
    <s v="PBOR00068"/>
    <x v="4"/>
    <x v="6"/>
    <s v="Minty Pizzabun"/>
    <x v="0"/>
    <n v="60"/>
    <s v="Albain Forestier"/>
    <n v="15"/>
    <n v="2.4938289886663061E-2"/>
    <n v="877.55553910200331"/>
  </r>
  <r>
    <s v="PBOR00069"/>
    <x v="5"/>
    <x v="2"/>
    <s v="Aloo Shots Pizzabun"/>
    <x v="1"/>
    <n v="95"/>
    <s v="Roch Cousineau"/>
    <n v="9"/>
    <n v="1.0123391970414241E-2"/>
    <n v="846.3444998652958"/>
  </r>
  <r>
    <s v="PBOR00070"/>
    <x v="0"/>
    <x v="26"/>
    <s v="Paneer Tikka Pizzabun"/>
    <x v="1"/>
    <n v="72"/>
    <s v="Adrien Martin"/>
    <n v="12"/>
    <n v="0.1308869366379137"/>
    <n v="750.91368674484249"/>
  </r>
  <r>
    <s v="PBOR00071"/>
    <x v="1"/>
    <x v="4"/>
    <s v="Crispy Chole Pizzabun"/>
    <x v="1"/>
    <n v="65"/>
    <s v="Albain Forestier"/>
    <n v="7"/>
    <n v="6.6961969492996459E-2"/>
    <n v="424.53230388068658"/>
  </r>
  <r>
    <s v="PBOR00072"/>
    <x v="2"/>
    <x v="27"/>
    <s v="Large Paneer Tikka Pizzabun"/>
    <x v="0"/>
    <n v="250"/>
    <s v="Roch Cousineau"/>
    <n v="3"/>
    <n v="0.36350761794645753"/>
    <n v="477.36928654015679"/>
  </r>
  <r>
    <s v="PBOR00073"/>
    <x v="3"/>
    <x v="15"/>
    <s v="Medium Crispy Chole Pizzabun"/>
    <x v="0"/>
    <n v="130"/>
    <s v="Adrien Martin"/>
    <n v="6"/>
    <n v="0.30841415491993102"/>
    <n v="539.43695916245372"/>
  </r>
  <r>
    <s v="PBOR00074"/>
    <x v="0"/>
    <x v="28"/>
    <s v="Paneer Tikka Pizzabun"/>
    <x v="0"/>
    <n v="72"/>
    <s v="Albain Forestier"/>
    <n v="9"/>
    <n v="0.21287301321989574"/>
    <n v="510.05828743350759"/>
  </r>
  <r>
    <s v="PBOR00075"/>
    <x v="1"/>
    <x v="8"/>
    <s v="Crispy Chole Pizzabun"/>
    <x v="0"/>
    <n v="65"/>
    <s v="Roch Cousineau"/>
    <n v="4"/>
    <n v="0.11047742601795077"/>
    <n v="231.27586923533281"/>
  </r>
  <r>
    <s v="PBOR00076"/>
    <x v="2"/>
    <x v="6"/>
    <s v="Large Paneer Tikka Pizzabun"/>
    <x v="0"/>
    <n v="250"/>
    <s v="Adrien Martin"/>
    <n v="2"/>
    <n v="4.8799156151631218E-2"/>
    <n v="475.60042192418439"/>
  </r>
  <r>
    <s v="PBOR00077"/>
    <x v="3"/>
    <x v="27"/>
    <s v="Medium Crispy Chole Pizzabun"/>
    <x v="0"/>
    <n v="130"/>
    <s v="Albain Forestier"/>
    <n v="6"/>
    <n v="0.27879506176921365"/>
    <n v="562.53985182001338"/>
  </r>
  <r>
    <s v="PBOR00078"/>
    <x v="4"/>
    <x v="10"/>
    <s v="Minty Pizzabun"/>
    <x v="0"/>
    <n v="60"/>
    <s v="Roch Cousineau"/>
    <n v="9"/>
    <n v="7.6045534046593019E-2"/>
    <n v="498.93541161483978"/>
  </r>
  <r>
    <s v="PBOR00079"/>
    <x v="0"/>
    <x v="29"/>
    <s v="Paneer Tikka Pizzabun"/>
    <x v="0"/>
    <n v="72"/>
    <s v="Adrien Martin"/>
    <n v="11"/>
    <n v="0.12055762754740325"/>
    <n v="696.51835898245656"/>
  </r>
  <r>
    <s v="PBOR00080"/>
    <x v="1"/>
    <x v="30"/>
    <s v="Crispy Chole Pizzabun"/>
    <x v="0"/>
    <n v="65"/>
    <s v="Albain Forestier"/>
    <n v="13"/>
    <n v="0.30283946337780637"/>
    <n v="589.10065344575355"/>
  </r>
  <r>
    <s v="PBOR00081"/>
    <x v="2"/>
    <x v="31"/>
    <s v="Large Paneer Tikka Pizzabun"/>
    <x v="1"/>
    <n v="250"/>
    <s v="Roch Cousineau"/>
    <n v="2"/>
    <n v="0.41401829873258272"/>
    <n v="292.99085063370865"/>
  </r>
  <r>
    <s v="PBOR00082"/>
    <x v="3"/>
    <x v="27"/>
    <s v="Medium Crispy Chole Pizzabun"/>
    <x v="0"/>
    <n v="130"/>
    <s v="Adrien Martin"/>
    <n v="6"/>
    <n v="6.1603660271292333E-3"/>
    <n v="775.19491449883924"/>
  </r>
  <r>
    <s v="PBOR00083"/>
    <x v="0"/>
    <x v="29"/>
    <s v="Paneer Tikka Pizzabun"/>
    <x v="0"/>
    <n v="72"/>
    <s v="Albain Forestier"/>
    <n v="12"/>
    <n v="0.10495963672233184"/>
    <n v="773.31487387190521"/>
  </r>
  <r>
    <s v="PBOR00084"/>
    <x v="1"/>
    <x v="1"/>
    <s v="Crispy Chole Pizzabun"/>
    <x v="0"/>
    <n v="65"/>
    <s v="Roch Cousineau"/>
    <n v="11"/>
    <n v="0.29377273906475571"/>
    <n v="504.95249156869966"/>
  </r>
  <r>
    <s v="PBOR00085"/>
    <x v="2"/>
    <x v="11"/>
    <s v="Large Paneer Tikka Pizzabun"/>
    <x v="0"/>
    <n v="250"/>
    <s v="Adrien Martin"/>
    <n v="3"/>
    <n v="0.56559810101924179"/>
    <n v="325.80142423556867"/>
  </r>
  <r>
    <s v="PBOR00086"/>
    <x v="3"/>
    <x v="5"/>
    <s v="Medium Crispy Chole Pizzabun"/>
    <x v="0"/>
    <n v="130"/>
    <s v="Albain Forestier"/>
    <n v="4"/>
    <n v="0.14180367825735268"/>
    <n v="446.26208730617662"/>
  </r>
  <r>
    <s v="PBOR00087"/>
    <x v="4"/>
    <x v="2"/>
    <s v="Minty Pizzabun"/>
    <x v="1"/>
    <n v="60"/>
    <s v="Roch Cousineau"/>
    <n v="14"/>
    <n v="0.19727585407121537"/>
    <n v="674.28828258017904"/>
  </r>
  <r>
    <s v="PBOR00088"/>
    <x v="5"/>
    <x v="31"/>
    <s v="Aloo Shots Pizzabun"/>
    <x v="0"/>
    <n v="95"/>
    <s v="Adrien Martin"/>
    <n v="2"/>
    <n v="0.16026707373910823"/>
    <n v="159.54925598956945"/>
  </r>
  <r>
    <s v="PBOR00089"/>
    <x v="0"/>
    <x v="3"/>
    <s v="Paneer Tikka Pizzabun"/>
    <x v="0"/>
    <n v="72"/>
    <s v="Albain Forestier"/>
    <n v="4"/>
    <n v="3.6754234817017679E-2"/>
    <n v="277.41478037269889"/>
  </r>
  <r>
    <s v="PBOR00090"/>
    <x v="1"/>
    <x v="25"/>
    <s v="Crispy Chole Pizzabun"/>
    <x v="0"/>
    <n v="65"/>
    <s v="Roch Cousineau"/>
    <n v="6"/>
    <n v="0.12047427034169578"/>
    <n v="343.01503456673862"/>
  </r>
  <r>
    <s v="PBOR00091"/>
    <x v="2"/>
    <x v="7"/>
    <s v="Large Paneer Tikka Pizzabun"/>
    <x v="1"/>
    <n v="250"/>
    <s v="Adrien Martin"/>
    <n v="2"/>
    <n v="0.38636401364592987"/>
    <n v="306.81799317703508"/>
  </r>
  <r>
    <s v="PBOR00092"/>
    <x v="3"/>
    <x v="25"/>
    <s v="Medium Crispy Chole Pizzabun"/>
    <x v="1"/>
    <n v="130"/>
    <s v="Albain Forestier"/>
    <n v="5"/>
    <n v="0.25111930985495906"/>
    <n v="486.77244859427657"/>
  </r>
  <r>
    <s v="PBOR00093"/>
    <x v="0"/>
    <x v="32"/>
    <s v="Paneer Tikka Pizzabun"/>
    <x v="1"/>
    <n v="72"/>
    <s v="Roch Cousineau"/>
    <n v="6"/>
    <n v="0.18099169049889144"/>
    <n v="353.81158970447893"/>
  </r>
  <r>
    <s v="PBOR00094"/>
    <x v="1"/>
    <x v="33"/>
    <s v="Crispy Chole Pizzabun"/>
    <x v="1"/>
    <n v="65"/>
    <s v="Adrien Martin"/>
    <n v="6"/>
    <n v="0.17363786365000505"/>
    <n v="322.28123317649801"/>
  </r>
  <r>
    <s v="PBOR00095"/>
    <x v="2"/>
    <x v="33"/>
    <s v="Large Paneer Tikka Pizzabun"/>
    <x v="1"/>
    <n v="250"/>
    <s v="Albain Forestier"/>
    <n v="3"/>
    <n v="0.75489814137474298"/>
    <n v="183.82639396894277"/>
  </r>
  <r>
    <s v="PBOR00096"/>
    <x v="3"/>
    <x v="22"/>
    <s v="Medium Crispy Chole Pizzabun"/>
    <x v="1"/>
    <n v="130"/>
    <s v="Roch Cousineau"/>
    <n v="4"/>
    <n v="0.41826226246410803"/>
    <n v="302.5036235186638"/>
  </r>
  <r>
    <s v="PBOR00097"/>
    <x v="0"/>
    <x v="34"/>
    <s v="Paneer Tikka Pizzabun"/>
    <x v="0"/>
    <n v="72"/>
    <s v="Roch Cousineau"/>
    <n v="11"/>
    <n v="0.52183512590850833"/>
    <n v="378.70658028046142"/>
  </r>
  <r>
    <s v="PBOR00098"/>
    <x v="1"/>
    <x v="7"/>
    <s v="Crispy Chole Pizzabun"/>
    <x v="1"/>
    <n v="65"/>
    <s v="Adrien Martin"/>
    <n v="12"/>
    <n v="0.4407264983607897"/>
    <n v="436.23333127858405"/>
  </r>
  <r>
    <s v="PBOR00099"/>
    <x v="2"/>
    <x v="3"/>
    <s v="Large Paneer Tikka Pizzabun"/>
    <x v="0"/>
    <n v="250"/>
    <s v="Albain Forestier"/>
    <n v="3"/>
    <n v="0.30123769132028422"/>
    <n v="524.07173150978679"/>
  </r>
  <r>
    <s v="PBOR00100"/>
    <x v="3"/>
    <x v="31"/>
    <s v="Medium Crispy Chole Pizzabun"/>
    <x v="1"/>
    <n v="130"/>
    <s v="Roch Cousineau"/>
    <n v="4"/>
    <n v="0.42020557863905661"/>
    <n v="301.49309910769057"/>
  </r>
  <r>
    <s v="PBOR00101"/>
    <x v="0"/>
    <x v="4"/>
    <s v="Paneer Tikka Pizzabun"/>
    <x v="0"/>
    <n v="72"/>
    <s v="Adrien Martin"/>
    <n v="10"/>
    <n v="0.38179966249899233"/>
    <n v="445.10424300072555"/>
  </r>
  <r>
    <s v="PBOR00102"/>
    <x v="1"/>
    <x v="34"/>
    <s v="Crispy Chole Pizzabun"/>
    <x v="1"/>
    <n v="65"/>
    <s v="Albain Forestier"/>
    <n v="5"/>
    <n v="4.8435914836800764E-3"/>
    <n v="323.42583276780397"/>
  </r>
  <r>
    <s v="PBOR00103"/>
    <x v="2"/>
    <x v="13"/>
    <s v="Large Paneer Tikka Pizzabun"/>
    <x v="0"/>
    <n v="250"/>
    <s v="Roch Cousineau"/>
    <n v="2"/>
    <n v="0.63857584714373206"/>
    <n v="180.71207642813397"/>
  </r>
  <r>
    <s v="PBOR00104"/>
    <x v="3"/>
    <x v="35"/>
    <s v="Medium Crispy Chole Pizzabun"/>
    <x v="1"/>
    <n v="130"/>
    <s v="Adrien Martin"/>
    <n v="7"/>
    <n v="0.92544771931561698"/>
    <n v="67.842575422788542"/>
  </r>
  <r>
    <s v="PBOR00105"/>
    <x v="4"/>
    <x v="2"/>
    <s v="Minty Pizzabun"/>
    <x v="0"/>
    <n v="60"/>
    <s v="Albain Forestier"/>
    <n v="10"/>
    <n v="4.9069353138029403E-2"/>
    <n v="570.5583881171824"/>
  </r>
  <r>
    <s v="PBOR00106"/>
    <x v="0"/>
    <x v="13"/>
    <s v="Paneer Tikka Pizzabun"/>
    <x v="1"/>
    <n v="72"/>
    <s v="Roch Cousineau"/>
    <n v="11"/>
    <n v="0.7875779554918797"/>
    <n v="168.23825925043127"/>
  </r>
  <r>
    <s v="PBOR00107"/>
    <x v="1"/>
    <x v="18"/>
    <s v="Crispy Chole Pizzabun"/>
    <x v="0"/>
    <n v="65"/>
    <s v="Adrien Martin"/>
    <n v="13"/>
    <n v="0.4468603878067412"/>
    <n v="467.40297230330367"/>
  </r>
  <r>
    <s v="PBOR00108"/>
    <x v="2"/>
    <x v="23"/>
    <s v="Large Paneer Tikka Pizzabun"/>
    <x v="1"/>
    <n v="250"/>
    <s v="Albain Forestier"/>
    <n v="2"/>
    <n v="0.89674363393446022"/>
    <n v="51.62818303276989"/>
  </r>
  <r>
    <s v="PBOR00109"/>
    <x v="3"/>
    <x v="36"/>
    <s v="Medium Crispy Chole Pizzabun"/>
    <x v="0"/>
    <n v="130"/>
    <s v="Roch Cousineau"/>
    <n v="6"/>
    <n v="3.2373342558606799E-2"/>
    <n v="754.74879280428672"/>
  </r>
  <r>
    <s v="PBOR00110"/>
    <x v="0"/>
    <x v="37"/>
    <s v="Paneer Tikka Pizzabun"/>
    <x v="1"/>
    <n v="72"/>
    <s v="Adrien Martin"/>
    <n v="11"/>
    <n v="0.94247200152138155"/>
    <n v="45.562174795065808"/>
  </r>
  <r>
    <s v="PBOR00111"/>
    <x v="1"/>
    <x v="4"/>
    <s v="Crispy Chole Pizzabun"/>
    <x v="0"/>
    <n v="65"/>
    <s v="Albain Forestier"/>
    <n v="7"/>
    <n v="0.24863680679080546"/>
    <n v="341.87025291018352"/>
  </r>
  <r>
    <s v="PBOR00112"/>
    <x v="2"/>
    <x v="3"/>
    <s v="Large Paneer Tikka Pizzabun"/>
    <x v="1"/>
    <n v="250"/>
    <s v="Roch Cousineau"/>
    <n v="1"/>
    <n v="4.9896521056402299E-2"/>
    <n v="237.52586973589942"/>
  </r>
  <r>
    <s v="PBOR00113"/>
    <x v="3"/>
    <x v="35"/>
    <s v="Medium Crispy Chole Pizzabun"/>
    <x v="0"/>
    <n v="130"/>
    <s v="Adrien Martin"/>
    <n v="7"/>
    <n v="0.49618340188276622"/>
    <n v="458.47310428668277"/>
  </r>
  <r>
    <s v="PBOR00114"/>
    <x v="4"/>
    <x v="11"/>
    <s v="Minty Pizzabun"/>
    <x v="0"/>
    <n v="60"/>
    <s v="Albain Forestier"/>
    <n v="13"/>
    <n v="0.62889621592411693"/>
    <n v="289.46095157918882"/>
  </r>
  <r>
    <s v="PBOR00115"/>
    <x v="5"/>
    <x v="10"/>
    <s v="Aloo Shots Pizzabun"/>
    <x v="1"/>
    <n v="95"/>
    <s v="Roch Cousineau"/>
    <n v="8"/>
    <n v="0.87580490637929664"/>
    <n v="94.388271151734557"/>
  </r>
  <r>
    <s v="PBOR00116"/>
    <x v="0"/>
    <x v="1"/>
    <s v="Paneer Tikka Pizzabun"/>
    <x v="1"/>
    <n v="72"/>
    <s v="Adrien Martin"/>
    <n v="11"/>
    <n v="0.37069854126093349"/>
    <n v="498.40675532134065"/>
  </r>
  <r>
    <s v="PBOR00117"/>
    <x v="1"/>
    <x v="17"/>
    <s v="Crispy Chole Pizzabun"/>
    <x v="1"/>
    <n v="65"/>
    <s v="Albain Forestier"/>
    <n v="10"/>
    <n v="0.64422602074286228"/>
    <n v="231.25308651713951"/>
  </r>
  <r>
    <s v="PBOR00118"/>
    <x v="2"/>
    <x v="17"/>
    <s v="Large Paneer Tikka Pizzabun"/>
    <x v="0"/>
    <n v="250"/>
    <s v="Roch Cousineau"/>
    <n v="2"/>
    <n v="0.76652707543193765"/>
    <n v="116.73646228403118"/>
  </r>
  <r>
    <s v="PBOR00119"/>
    <x v="3"/>
    <x v="37"/>
    <s v="Medium Crispy Chole Pizzabun"/>
    <x v="0"/>
    <n v="130"/>
    <s v="Adrien Martin"/>
    <n v="2"/>
    <n v="0.74416329829954486"/>
    <n v="66.517542442118341"/>
  </r>
  <r>
    <s v="PBOR00120"/>
    <x v="0"/>
    <x v="4"/>
    <s v="Paneer Tikka Pizzabun"/>
    <x v="0"/>
    <n v="72"/>
    <s v="Albain Forestier"/>
    <n v="8"/>
    <n v="0.48484032292333201"/>
    <n v="296.73197399616078"/>
  </r>
  <r>
    <s v="PBOR00121"/>
    <x v="1"/>
    <x v="2"/>
    <s v="Crispy Chole Pizzabun"/>
    <x v="0"/>
    <n v="65"/>
    <s v="Roch Cousineau"/>
    <n v="8"/>
    <n v="0.10556900790048951"/>
    <n v="465.10411589174544"/>
  </r>
  <r>
    <s v="PBOR00122"/>
    <x v="2"/>
    <x v="12"/>
    <s v="Large Paneer Tikka Pizzabun"/>
    <x v="0"/>
    <n v="250"/>
    <s v="Adrien Martin"/>
    <n v="1"/>
    <n v="0.35681327352398817"/>
    <n v="160.79668161900295"/>
  </r>
  <r>
    <s v="PBOR00123"/>
    <x v="3"/>
    <x v="0"/>
    <s v="Medium Crispy Chole Pizzabun"/>
    <x v="0"/>
    <n v="130"/>
    <s v="Albain Forestier"/>
    <n v="2"/>
    <n v="0.38966155247167111"/>
    <n v="158.68799635736551"/>
  </r>
  <r>
    <s v="PBOR00124"/>
    <x v="4"/>
    <x v="38"/>
    <s v="Minty Pizzabun"/>
    <x v="0"/>
    <n v="60"/>
    <s v="Roch Cousineau"/>
    <n v="6"/>
    <n v="0.27342799854809485"/>
    <n v="261.56592052268587"/>
  </r>
  <r>
    <s v="PBOR00125"/>
    <x v="0"/>
    <x v="1"/>
    <s v="Paneer Tikka Pizzabun"/>
    <x v="0"/>
    <n v="72"/>
    <s v="Adrien Martin"/>
    <n v="11"/>
    <n v="0.68404340685026022"/>
    <n v="250.23762177459392"/>
  </r>
  <r>
    <s v="PBOR00126"/>
    <x v="1"/>
    <x v="2"/>
    <s v="Crispy Chole Pizzabun"/>
    <x v="0"/>
    <n v="65"/>
    <s v="Albain Forestier"/>
    <n v="4"/>
    <n v="0.30511671475159663"/>
    <n v="180.66965416458487"/>
  </r>
  <r>
    <s v="PBOR00127"/>
    <x v="2"/>
    <x v="5"/>
    <s v="Large Paneer Tikka Pizzabun"/>
    <x v="1"/>
    <n v="250"/>
    <s v="Roch Cousineau"/>
    <n v="3"/>
    <n v="0.26634683182511409"/>
    <n v="550.23987613116446"/>
  </r>
  <r>
    <s v="PBOR00128"/>
    <x v="3"/>
    <x v="3"/>
    <s v="Medium Crispy Chole Pizzabun"/>
    <x v="0"/>
    <n v="130"/>
    <s v="Adrien Martin"/>
    <n v="2"/>
    <n v="0.95598379426073032"/>
    <n v="11.444213492210116"/>
  </r>
  <r>
    <s v="PBOR00129"/>
    <x v="0"/>
    <x v="36"/>
    <s v="Paneer Tikka Pizzabun"/>
    <x v="0"/>
    <n v="72"/>
    <s v="Albain Forestier"/>
    <n v="3"/>
    <n v="0.78465682989488972"/>
    <n v="46.514124742703821"/>
  </r>
  <r>
    <s v="PBOR00130"/>
    <x v="1"/>
    <x v="24"/>
    <s v="Crispy Chole Pizzabun"/>
    <x v="0"/>
    <n v="65"/>
    <s v="Roch Cousineau"/>
    <n v="4"/>
    <n v="0.92531650826605816"/>
    <n v="19.417707850824879"/>
  </r>
  <r>
    <s v="PBOR00131"/>
    <x v="2"/>
    <x v="21"/>
    <s v="Large Paneer Tikka Pizzabun"/>
    <x v="0"/>
    <n v="250"/>
    <s v="Adrien Martin"/>
    <n v="3"/>
    <n v="0.91314982692991542"/>
    <n v="65.137629802563438"/>
  </r>
  <r>
    <s v="PBOR00132"/>
    <x v="3"/>
    <x v="32"/>
    <s v="Medium Crispy Chole Pizzabun"/>
    <x v="0"/>
    <n v="130"/>
    <s v="Albain Forestier"/>
    <n v="2"/>
    <n v="8.4586093307030152E-2"/>
    <n v="238.00761574017216"/>
  </r>
  <r>
    <s v="PBOR00133"/>
    <x v="4"/>
    <x v="4"/>
    <s v="Minty Pizzabun"/>
    <x v="1"/>
    <n v="60"/>
    <s v="Roch Cousineau"/>
    <n v="7"/>
    <n v="0.92983220282837542"/>
    <n v="29.470474812082323"/>
  </r>
  <r>
    <s v="PBOR00134"/>
    <x v="5"/>
    <x v="2"/>
    <s v="Aloo Shots Pizzabun"/>
    <x v="0"/>
    <n v="95"/>
    <s v="Adrien Martin"/>
    <n v="6"/>
    <n v="0.13029960752667558"/>
    <n v="495.72922370979489"/>
  </r>
  <r>
    <s v="PBOR00135"/>
    <x v="0"/>
    <x v="27"/>
    <s v="Paneer Tikka Pizzabun"/>
    <x v="0"/>
    <n v="72"/>
    <s v="Albain Forestier"/>
    <n v="6"/>
    <n v="0.41456728266200249"/>
    <n v="252.90693389001493"/>
  </r>
  <r>
    <s v="PBOR00136"/>
    <x v="1"/>
    <x v="0"/>
    <s v="Crispy Chole Pizzabun"/>
    <x v="0"/>
    <n v="65"/>
    <s v="Roch Cousineau"/>
    <n v="8"/>
    <n v="0.77953807822657883"/>
    <n v="114.640199322179"/>
  </r>
  <r>
    <s v="PBOR00137"/>
    <x v="2"/>
    <x v="1"/>
    <s v="Large Paneer Tikka Pizzabun"/>
    <x v="1"/>
    <n v="250"/>
    <s v="Adrien Martin"/>
    <n v="3"/>
    <n v="0.56602493379943331"/>
    <n v="325.481299650425"/>
  </r>
  <r>
    <s v="PBOR00138"/>
    <x v="3"/>
    <x v="28"/>
    <s v="Medium Crispy Chole Pizzabun"/>
    <x v="1"/>
    <n v="130"/>
    <s v="Albain Forestier"/>
    <n v="2"/>
    <n v="0.7922771947085826"/>
    <n v="54.007929375768526"/>
  </r>
  <r>
    <s v="PBOR00139"/>
    <x v="0"/>
    <x v="8"/>
    <s v="Paneer Tikka Pizzabun"/>
    <x v="1"/>
    <n v="72"/>
    <s v="Roch Cousineau"/>
    <n v="9"/>
    <n v="9.6806596410280221E-2"/>
    <n v="585.26932552613846"/>
  </r>
  <r>
    <s v="PBOR00140"/>
    <x v="1"/>
    <x v="33"/>
    <s v="Crispy Chole Pizzabun"/>
    <x v="1"/>
    <n v="65"/>
    <s v="Adrien Martin"/>
    <n v="8"/>
    <n v="0.10738058788365801"/>
    <n v="464.16209430049781"/>
  </r>
  <r>
    <s v="PBOR00141"/>
    <x v="2"/>
    <x v="14"/>
    <s v="Large Paneer Tikka Pizzabun"/>
    <x v="1"/>
    <n v="250"/>
    <s v="Albain Forestier"/>
    <n v="1"/>
    <n v="0.68298720032284699"/>
    <n v="79.253199919288249"/>
  </r>
  <r>
    <s v="PBOR00142"/>
    <x v="3"/>
    <x v="16"/>
    <s v="Medium Crispy Chole Pizzabun"/>
    <x v="1"/>
    <n v="130"/>
    <s v="Roch Cousineau"/>
    <n v="2"/>
    <n v="8.8476327566971991E-2"/>
    <n v="236.99615483258728"/>
  </r>
  <r>
    <s v="PBOR00143"/>
    <x v="0"/>
    <x v="17"/>
    <s v="Paneer Tikka Pizzabun"/>
    <x v="0"/>
    <n v="72"/>
    <s v="Roch Cousineau"/>
    <n v="9"/>
    <n v="0.12263076179640997"/>
    <n v="568.5352663559263"/>
  </r>
  <r>
    <s v="PBOR00144"/>
    <x v="1"/>
    <x v="17"/>
    <s v="Crispy Chole Pizzabun"/>
    <x v="1"/>
    <n v="65"/>
    <s v="Adrien Martin"/>
    <n v="7"/>
    <n v="0.21348123854438894"/>
    <n v="357.86603646230304"/>
  </r>
  <r>
    <s v="PBOR00145"/>
    <x v="2"/>
    <x v="5"/>
    <s v="Large Paneer Tikka Pizzabun"/>
    <x v="0"/>
    <n v="250"/>
    <s v="Albain Forestier"/>
    <n v="3"/>
    <n v="0.51777110877083832"/>
    <n v="361.67166842187129"/>
  </r>
  <r>
    <s v="PBOR00146"/>
    <x v="3"/>
    <x v="16"/>
    <s v="Medium Crispy Chole Pizzabun"/>
    <x v="1"/>
    <n v="130"/>
    <s v="Roch Cousineau"/>
    <n v="3"/>
    <n v="0.2471412366587864"/>
    <n v="293.61491770307333"/>
  </r>
  <r>
    <s v="PBOR00147"/>
    <x v="0"/>
    <x v="1"/>
    <s v="Paneer Tikka Pizzabun"/>
    <x v="0"/>
    <n v="72"/>
    <s v="Adrien Martin"/>
    <n v="4"/>
    <n v="0.74108890181243625"/>
    <n v="74.56639627801836"/>
  </r>
  <r>
    <s v="PBOR00148"/>
    <x v="1"/>
    <x v="18"/>
    <s v="Crispy Chole Pizzabun"/>
    <x v="1"/>
    <n v="65"/>
    <s v="Albain Forestier"/>
    <n v="5"/>
    <n v="0.7589550474918334"/>
    <n v="78.339609565154149"/>
  </r>
  <r>
    <s v="PBOR00149"/>
    <x v="2"/>
    <x v="3"/>
    <s v="Large Paneer Tikka Pizzabun"/>
    <x v="0"/>
    <n v="250"/>
    <s v="Roch Cousineau"/>
    <n v="4"/>
    <n v="0.39519452416647527"/>
    <n v="604.80547583352472"/>
  </r>
  <r>
    <s v="PBOR00150"/>
    <x v="3"/>
    <x v="19"/>
    <s v="Medium Crispy Chole Pizzabun"/>
    <x v="1"/>
    <n v="130"/>
    <s v="Adrien Martin"/>
    <n v="5"/>
    <n v="2.5857814158937731E-2"/>
    <n v="633.1924207966905"/>
  </r>
  <r>
    <s v="PBOR00151"/>
    <x v="4"/>
    <x v="20"/>
    <s v="Minty Pizzabun"/>
    <x v="0"/>
    <n v="60"/>
    <s v="Albain Forestier"/>
    <n v="10"/>
    <n v="0.35224195755599907"/>
    <n v="388.65482546640055"/>
  </r>
  <r>
    <s v="PBOR00152"/>
    <x v="0"/>
    <x v="21"/>
    <s v="Paneer Tikka Pizzabun"/>
    <x v="1"/>
    <n v="72"/>
    <s v="Roch Cousineau"/>
    <n v="12"/>
    <n v="4.2934737769464881E-2"/>
    <n v="826.90438656718231"/>
  </r>
  <r>
    <s v="PBOR00153"/>
    <x v="1"/>
    <x v="22"/>
    <s v="Crispy Chole Pizzabun"/>
    <x v="0"/>
    <n v="65"/>
    <s v="Adrien Martin"/>
    <n v="12"/>
    <n v="6.8824781708392013E-3"/>
    <n v="774.63166702674539"/>
  </r>
  <r>
    <s v="PBOR00154"/>
    <x v="2"/>
    <x v="23"/>
    <s v="Large Paneer Tikka Pizzabun"/>
    <x v="1"/>
    <n v="250"/>
    <s v="Albain Forestier"/>
    <n v="1"/>
    <n v="0.8553400747255635"/>
    <n v="36.164981318609122"/>
  </r>
  <r>
    <s v="PBOR00155"/>
    <x v="3"/>
    <x v="24"/>
    <s v="Medium Crispy Chole Pizzabun"/>
    <x v="0"/>
    <n v="130"/>
    <s v="Roch Cousineau"/>
    <n v="6"/>
    <n v="0.62107648533214554"/>
    <n v="295.56034144092649"/>
  </r>
  <r>
    <s v="PBOR00156"/>
    <x v="0"/>
    <x v="16"/>
    <s v="Paneer Tikka Pizzabun"/>
    <x v="1"/>
    <n v="72"/>
    <s v="Adrien Martin"/>
    <n v="3"/>
    <n v="0.93819201157518672"/>
    <n v="13.350525499759668"/>
  </r>
  <r>
    <s v="PBOR00157"/>
    <x v="1"/>
    <x v="25"/>
    <s v="Crispy Chole Pizzabun"/>
    <x v="0"/>
    <n v="65"/>
    <s v="Albain Forestier"/>
    <n v="12"/>
    <n v="0.97731506347213748"/>
    <n v="17.694250491732767"/>
  </r>
  <r>
    <s v="PBOR00158"/>
    <x v="2"/>
    <x v="6"/>
    <s v="Large Paneer Tikka Pizzabun"/>
    <x v="1"/>
    <n v="250"/>
    <s v="Roch Cousineau"/>
    <n v="3"/>
    <n v="0.93618769203099483"/>
    <n v="47.859230976753878"/>
  </r>
  <r>
    <s v="PBOR00159"/>
    <x v="3"/>
    <x v="2"/>
    <s v="Medium Crispy Chole Pizzabun"/>
    <x v="0"/>
    <n v="130"/>
    <s v="Adrien Martin"/>
    <n v="5"/>
    <n v="0.92747059451906588"/>
    <n v="47.144113562607174"/>
  </r>
  <r>
    <s v="PBOR00160"/>
    <x v="4"/>
    <x v="26"/>
    <s v="Minty Pizzabun"/>
    <x v="0"/>
    <n v="60"/>
    <s v="Albain Forestier"/>
    <n v="8"/>
    <n v="9.8331104648150314E-2"/>
    <n v="432.80106976888783"/>
  </r>
  <r>
    <s v="PBOR00161"/>
    <x v="5"/>
    <x v="4"/>
    <s v="Aloo Shots Pizzabun"/>
    <x v="1"/>
    <n v="95"/>
    <s v="Roch Cousineau"/>
    <n v="5"/>
    <n v="4.5012478047171678E-3"/>
    <n v="472.86190729275933"/>
  </r>
  <r>
    <s v="PBOR00162"/>
    <x v="0"/>
    <x v="27"/>
    <s v="Paneer Tikka Pizzabun"/>
    <x v="1"/>
    <n v="72"/>
    <s v="Adrien Martin"/>
    <n v="9"/>
    <n v="0.22169192366246837"/>
    <n v="504.34363346672052"/>
  </r>
  <r>
    <s v="PBOR00163"/>
    <x v="1"/>
    <x v="15"/>
    <s v="Crispy Chole Pizzabun"/>
    <x v="1"/>
    <n v="65"/>
    <s v="Albain Forestier"/>
    <n v="6"/>
    <n v="0.91624709117858605"/>
    <n v="32.663634440351444"/>
  </r>
  <r>
    <s v="PBOR00164"/>
    <x v="2"/>
    <x v="28"/>
    <s v="Large Paneer Tikka Pizzabun"/>
    <x v="0"/>
    <n v="250"/>
    <s v="Roch Cousineau"/>
    <n v="3"/>
    <n v="0.61362516317019966"/>
    <n v="289.78112762235025"/>
  </r>
  <r>
    <s v="PBOR00165"/>
    <x v="3"/>
    <x v="8"/>
    <s v="Medium Crispy Chole Pizzabun"/>
    <x v="0"/>
    <n v="130"/>
    <s v="Adrien Martin"/>
    <n v="4"/>
    <n v="0.81572623665656485"/>
    <n v="95.822356938586282"/>
  </r>
  <r>
    <s v="PBOR00166"/>
    <x v="0"/>
    <x v="6"/>
    <s v="Paneer Tikka Pizzabun"/>
    <x v="0"/>
    <n v="72"/>
    <s v="Albain Forestier"/>
    <n v="11"/>
    <n v="0.60394772308749511"/>
    <n v="313.67340331470388"/>
  </r>
  <r>
    <s v="PBOR00167"/>
    <x v="1"/>
    <x v="27"/>
    <s v="Crispy Chole Pizzabun"/>
    <x v="0"/>
    <n v="65"/>
    <s v="Roch Cousineau"/>
    <n v="7"/>
    <n v="0.2716676542664398"/>
    <n v="331.39121730876991"/>
  </r>
  <r>
    <s v="PBOR00168"/>
    <x v="2"/>
    <x v="10"/>
    <s v="Large Paneer Tikka Pizzabun"/>
    <x v="0"/>
    <n v="250"/>
    <s v="Adrien Martin"/>
    <n v="2"/>
    <n v="0.56293228162406539"/>
    <n v="218.53385918796729"/>
  </r>
  <r>
    <s v="PBOR00169"/>
    <x v="3"/>
    <x v="29"/>
    <s v="Medium Crispy Chole Pizzabun"/>
    <x v="0"/>
    <n v="130"/>
    <s v="Albain Forestier"/>
    <n v="4"/>
    <n v="0.73579140219525918"/>
    <n v="137.38847085846521"/>
  </r>
  <r>
    <s v="PBOR00170"/>
    <x v="4"/>
    <x v="30"/>
    <s v="Minty Pizzabun"/>
    <x v="0"/>
    <n v="60"/>
    <s v="Roch Cousineau"/>
    <n v="12"/>
    <n v="0.44112931781121201"/>
    <n v="402.38689117592736"/>
  </r>
  <r>
    <s v="PBOR00171"/>
    <x v="0"/>
    <x v="31"/>
    <s v="Paneer Tikka Pizzabun"/>
    <x v="0"/>
    <n v="72"/>
    <s v="Adrien Martin"/>
    <n v="11"/>
    <n v="0.67026763876764872"/>
    <n v="261.14803009602224"/>
  </r>
  <r>
    <s v="PBOR00172"/>
    <x v="1"/>
    <x v="27"/>
    <s v="Crispy Chole Pizzabun"/>
    <x v="0"/>
    <n v="65"/>
    <s v="Albain Forestier"/>
    <n v="9"/>
    <n v="0.21501842814819261"/>
    <n v="459.2142195333073"/>
  </r>
  <r>
    <s v="PBOR00173"/>
    <x v="2"/>
    <x v="29"/>
    <s v="Large Paneer Tikka Pizzabun"/>
    <x v="1"/>
    <n v="250"/>
    <s v="Roch Cousineau"/>
    <n v="3"/>
    <n v="0.77528388030776896"/>
    <n v="168.53708976917329"/>
  </r>
  <r>
    <s v="PBOR00174"/>
    <x v="3"/>
    <x v="1"/>
    <s v="Medium Crispy Chole Pizzabun"/>
    <x v="0"/>
    <n v="130"/>
    <s v="Adrien Martin"/>
    <n v="3"/>
    <n v="0.32334348690445713"/>
    <n v="263.89604010726174"/>
  </r>
  <r>
    <s v="PBOR00175"/>
    <x v="0"/>
    <x v="11"/>
    <s v="Paneer Tikka Pizzabun"/>
    <x v="0"/>
    <n v="72"/>
    <s v="Albain Forestier"/>
    <n v="5"/>
    <n v="0.2117276391971491"/>
    <n v="283.77804988902631"/>
  </r>
  <r>
    <s v="PBOR00176"/>
    <x v="1"/>
    <x v="5"/>
    <s v="Crispy Chole Pizzabun"/>
    <x v="0"/>
    <n v="65"/>
    <s v="Roch Cousineau"/>
    <n v="10"/>
    <n v="0.99817658128489728"/>
    <n v="1.1852221648167682"/>
  </r>
  <r>
    <s v="PBOR00177"/>
    <x v="2"/>
    <x v="2"/>
    <s v="Large Paneer Tikka Pizzabun"/>
    <x v="0"/>
    <n v="250"/>
    <s v="Adrien Martin"/>
    <n v="3"/>
    <n v="0.34321661485625221"/>
    <n v="492.58753885781084"/>
  </r>
  <r>
    <s v="PBOR00178"/>
    <x v="3"/>
    <x v="31"/>
    <s v="Medium Crispy Chole Pizzabun"/>
    <x v="0"/>
    <n v="130"/>
    <s v="Albain Forestier"/>
    <n v="6"/>
    <n v="0.17688363553653064"/>
    <n v="642.03076428150609"/>
  </r>
  <r>
    <s v="PBOR00179"/>
    <x v="4"/>
    <x v="3"/>
    <s v="Minty Pizzabun"/>
    <x v="1"/>
    <n v="60"/>
    <s v="Roch Cousineau"/>
    <n v="12"/>
    <n v="0.54853763527560739"/>
    <n v="325.05290260156266"/>
  </r>
  <r>
    <s v="PBOR00180"/>
    <x v="5"/>
    <x v="25"/>
    <s v="Aloo Shots Pizzabun"/>
    <x v="0"/>
    <n v="95"/>
    <s v="Adrien Martin"/>
    <n v="7"/>
    <n v="0.40612729229894939"/>
    <n v="394.92535062119867"/>
  </r>
  <r>
    <s v="PBOR00181"/>
    <x v="0"/>
    <x v="7"/>
    <s v="Paneer Tikka Pizzabun"/>
    <x v="0"/>
    <n v="72"/>
    <s v="Albain Forestier"/>
    <n v="6"/>
    <n v="0.16780300089638589"/>
    <n v="359.50910361276129"/>
  </r>
  <r>
    <s v="PBOR00182"/>
    <x v="1"/>
    <x v="25"/>
    <s v="Crispy Chole Pizzabun"/>
    <x v="0"/>
    <n v="65"/>
    <s v="Roch Cousineau"/>
    <n v="10"/>
    <n v="0.91086777790941564"/>
    <n v="57.93594435887983"/>
  </r>
  <r>
    <s v="PBOR00183"/>
    <x v="2"/>
    <x v="32"/>
    <s v="Large Paneer Tikka Pizzabun"/>
    <x v="1"/>
    <n v="250"/>
    <s v="Adrien Martin"/>
    <n v="3"/>
    <n v="0.2731985494536886"/>
    <n v="545.10108790973356"/>
  </r>
  <r>
    <s v="PBOR00184"/>
    <x v="3"/>
    <x v="33"/>
    <s v="Medium Crispy Chole Pizzabun"/>
    <x v="1"/>
    <n v="130"/>
    <s v="Albain Forestier"/>
    <n v="4"/>
    <n v="0.81984662786178419"/>
    <n v="93.679753511872221"/>
  </r>
  <r>
    <s v="PBOR00185"/>
    <x v="0"/>
    <x v="33"/>
    <s v="Paneer Tikka Pizzabun"/>
    <x v="1"/>
    <n v="72"/>
    <s v="Roch Cousineau"/>
    <n v="7"/>
    <n v="0.89980934003543744"/>
    <n v="50.496092622139528"/>
  </r>
  <r>
    <s v="PBOR00186"/>
    <x v="1"/>
    <x v="22"/>
    <s v="Crispy Chole Pizzabun"/>
    <x v="1"/>
    <n v="65"/>
    <s v="Adrien Martin"/>
    <n v="5"/>
    <n v="0.73522347452625669"/>
    <n v="86.052370778966576"/>
  </r>
  <r>
    <s v="PBOR00187"/>
    <x v="2"/>
    <x v="34"/>
    <s v="Large Paneer Tikka Pizzabun"/>
    <x v="1"/>
    <n v="250"/>
    <s v="Albain Forestier"/>
    <n v="3"/>
    <n v="0.36579213338930128"/>
    <n v="475.65589995802407"/>
  </r>
  <r>
    <s v="PBOR00188"/>
    <x v="3"/>
    <x v="7"/>
    <s v="Medium Crispy Chole Pizzabun"/>
    <x v="1"/>
    <n v="130"/>
    <s v="Roch Cousineau"/>
    <n v="2"/>
    <n v="0.79313642440033238"/>
    <n v="53.78452965591358"/>
  </r>
  <r>
    <s v="PBOR00189"/>
    <x v="0"/>
    <x v="3"/>
    <s v="Paneer Tikka Pizzabun"/>
    <x v="0"/>
    <n v="72"/>
    <s v="Roch Cousineau"/>
    <n v="4"/>
    <n v="8.0407664979564641E-2"/>
    <n v="264.8425924858854"/>
  </r>
  <r>
    <s v="PBOR00190"/>
    <x v="1"/>
    <x v="31"/>
    <s v="Crispy Chole Pizzabun"/>
    <x v="1"/>
    <n v="65"/>
    <s v="Adrien Martin"/>
    <n v="12"/>
    <n v="0.38525936096781821"/>
    <n v="479.49769844510178"/>
  </r>
  <r>
    <s v="PBOR00191"/>
    <x v="2"/>
    <x v="4"/>
    <s v="Large Paneer Tikka Pizzabun"/>
    <x v="0"/>
    <n v="250"/>
    <s v="Albain Forestier"/>
    <n v="1"/>
    <n v="0.45507177071325888"/>
    <n v="136.23205732168529"/>
  </r>
  <r>
    <s v="PBOR00192"/>
    <x v="3"/>
    <x v="34"/>
    <s v="Medium Crispy Chole Pizzabun"/>
    <x v="1"/>
    <n v="130"/>
    <s v="Roch Cousineau"/>
    <n v="4"/>
    <n v="0.93827031337312128"/>
    <n v="32.099437045976934"/>
  </r>
  <r>
    <s v="PBOR00193"/>
    <x v="0"/>
    <x v="13"/>
    <s v="Paneer Tikka Pizzabun"/>
    <x v="0"/>
    <n v="72"/>
    <s v="Adrien Martin"/>
    <n v="7"/>
    <n v="0.14716035331195043"/>
    <n v="429.83118193077701"/>
  </r>
  <r>
    <s v="PBOR00194"/>
    <x v="1"/>
    <x v="35"/>
    <s v="Crispy Chole Pizzabun"/>
    <x v="1"/>
    <n v="65"/>
    <s v="Albain Forestier"/>
    <n v="12"/>
    <n v="0.10159867043013626"/>
    <n v="700.7530370644937"/>
  </r>
  <r>
    <s v="PBOR00195"/>
    <x v="2"/>
    <x v="2"/>
    <s v="Large Paneer Tikka Pizzabun"/>
    <x v="0"/>
    <n v="250"/>
    <s v="Roch Cousineau"/>
    <n v="2"/>
    <n v="0.50060788399709522"/>
    <n v="249.6960580014524"/>
  </r>
  <r>
    <s v="PBOR00196"/>
    <x v="3"/>
    <x v="13"/>
    <s v="Medium Crispy Chole Pizzabun"/>
    <x v="1"/>
    <n v="130"/>
    <s v="Adrien Martin"/>
    <n v="6"/>
    <n v="0.70539643021834586"/>
    <n v="229.79078442969023"/>
  </r>
  <r>
    <s v="PBOR00197"/>
    <x v="4"/>
    <x v="18"/>
    <s v="Minty Pizzabun"/>
    <x v="0"/>
    <n v="60"/>
    <s v="Albain Forestier"/>
    <n v="12"/>
    <n v="0.72481379032239401"/>
    <n v="198.13407096787631"/>
  </r>
  <r>
    <s v="PBOR00198"/>
    <x v="0"/>
    <x v="23"/>
    <s v="Paneer Tikka Pizzabun"/>
    <x v="1"/>
    <n v="72"/>
    <s v="Roch Cousineau"/>
    <n v="6"/>
    <n v="0.21833121955544521"/>
    <n v="337.68091315204765"/>
  </r>
  <r>
    <s v="PBOR00199"/>
    <x v="1"/>
    <x v="36"/>
    <s v="Crispy Chole Pizzabun"/>
    <x v="0"/>
    <n v="65"/>
    <s v="Adrien Martin"/>
    <n v="8"/>
    <n v="0.33253524453952932"/>
    <n v="347.08167283944476"/>
  </r>
  <r>
    <s v="PBOR00200"/>
    <x v="2"/>
    <x v="37"/>
    <s v="Large Paneer Tikka Pizzabun"/>
    <x v="1"/>
    <n v="250"/>
    <s v="Albain Forestier"/>
    <n v="2"/>
    <n v="0.39793552100289009"/>
    <n v="301.03223949855493"/>
  </r>
  <r>
    <s v="PBOR00201"/>
    <x v="3"/>
    <x v="4"/>
    <s v="Medium Crispy Chole Pizzabun"/>
    <x v="0"/>
    <n v="130"/>
    <s v="Roch Cousineau"/>
    <n v="4"/>
    <n v="0.83519533088641318"/>
    <n v="85.698427939065141"/>
  </r>
  <r>
    <s v="PBOR00202"/>
    <x v="0"/>
    <x v="3"/>
    <s v="Paneer Tikka Pizzabun"/>
    <x v="1"/>
    <n v="72"/>
    <s v="Adrien Martin"/>
    <n v="10"/>
    <n v="8.7312208799101843E-3"/>
    <n v="713.71352096646467"/>
  </r>
  <r>
    <s v="PBOR00203"/>
    <x v="1"/>
    <x v="35"/>
    <s v="Crispy Chole Pizzabun"/>
    <x v="0"/>
    <n v="65"/>
    <s v="Albain Forestier"/>
    <n v="12"/>
    <n v="0.95071636556912675"/>
    <n v="38.441234856081131"/>
  </r>
  <r>
    <s v="PBOR00204"/>
    <x v="2"/>
    <x v="11"/>
    <s v="Large Paneer Tikka Pizzabun"/>
    <x v="1"/>
    <n v="250"/>
    <s v="Roch Cousineau"/>
    <n v="4"/>
    <n v="6.5110770871939172E-2"/>
    <n v="934.88922912806083"/>
  </r>
  <r>
    <s v="PBOR00205"/>
    <x v="3"/>
    <x v="10"/>
    <s v="Medium Crispy Chole Pizzabun"/>
    <x v="0"/>
    <n v="130"/>
    <s v="Adrien Martin"/>
    <n v="6"/>
    <n v="0.43772024513265795"/>
    <n v="438.57820879652678"/>
  </r>
  <r>
    <s v="PBOR00206"/>
    <x v="4"/>
    <x v="1"/>
    <s v="Minty Pizzabun"/>
    <x v="0"/>
    <n v="60"/>
    <s v="Albain Forestier"/>
    <n v="7"/>
    <n v="0.41853663840169475"/>
    <n v="244.21461187128821"/>
  </r>
  <r>
    <s v="PBOR00207"/>
    <x v="5"/>
    <x v="17"/>
    <s v="Aloo Shots Pizzabun"/>
    <x v="1"/>
    <n v="95"/>
    <s v="Roch Cousineau"/>
    <n v="7"/>
    <n v="0.38824165845812764"/>
    <n v="406.81929712534514"/>
  </r>
  <r>
    <s v="PBOR00208"/>
    <x v="0"/>
    <x v="17"/>
    <s v="Paneer Tikka Pizzabun"/>
    <x v="1"/>
    <n v="72"/>
    <s v="Adrien Martin"/>
    <n v="3"/>
    <n v="0.75434060698733896"/>
    <n v="53.062428890734786"/>
  </r>
  <r>
    <s v="PBOR00209"/>
    <x v="1"/>
    <x v="37"/>
    <s v="Crispy Chole Pizzabun"/>
    <x v="1"/>
    <n v="65"/>
    <s v="Albain Forestier"/>
    <n v="12"/>
    <n v="0.61587381700020483"/>
    <n v="299.61842273984024"/>
  </r>
  <r>
    <s v="PBOR00210"/>
    <x v="2"/>
    <x v="4"/>
    <s v="Large Paneer Tikka Pizzabun"/>
    <x v="0"/>
    <n v="250"/>
    <s v="Roch Cousineau"/>
    <n v="2"/>
    <n v="0.80006888756762451"/>
    <n v="99.96555621618775"/>
  </r>
  <r>
    <s v="PBOR00211"/>
    <x v="3"/>
    <x v="2"/>
    <s v="Medium Crispy Chole Pizzabun"/>
    <x v="0"/>
    <n v="130"/>
    <s v="Adrien Martin"/>
    <n v="5"/>
    <n v="0.68228949683615203"/>
    <n v="206.51182705650118"/>
  </r>
  <r>
    <s v="PBOR00212"/>
    <x v="0"/>
    <x v="12"/>
    <s v="Paneer Tikka Pizzabun"/>
    <x v="0"/>
    <n v="72"/>
    <s v="Albain Forestier"/>
    <n v="10"/>
    <n v="1.6479509006877335E-2"/>
    <n v="708.13475351504837"/>
  </r>
  <r>
    <s v="PBOR00213"/>
    <x v="1"/>
    <x v="0"/>
    <s v="Crispy Chole Pizzabun"/>
    <x v="0"/>
    <n v="65"/>
    <s v="Roch Cousineau"/>
    <n v="10"/>
    <n v="0.23078123893127422"/>
    <n v="499.99219469467175"/>
  </r>
  <r>
    <s v="PBOR00214"/>
    <x v="2"/>
    <x v="38"/>
    <s v="Large Paneer Tikka Pizzabun"/>
    <x v="0"/>
    <n v="250"/>
    <s v="Adrien Martin"/>
    <n v="3"/>
    <n v="2.2225272121484729E-2"/>
    <n v="733.33104590888649"/>
  </r>
  <r>
    <s v="PBOR00215"/>
    <x v="3"/>
    <x v="1"/>
    <s v="Medium Crispy Chole Pizzabun"/>
    <x v="0"/>
    <n v="130"/>
    <s v="Albain Forestier"/>
    <n v="3"/>
    <n v="0.72206439626516772"/>
    <n v="108.39488545658459"/>
  </r>
  <r>
    <s v="PBOR00216"/>
    <x v="4"/>
    <x v="2"/>
    <s v="Minty Pizzabun"/>
    <x v="0"/>
    <n v="60"/>
    <s v="Roch Cousineau"/>
    <n v="7"/>
    <n v="0.66067744665264683"/>
    <n v="142.51547240588835"/>
  </r>
  <r>
    <s v="PBOR00217"/>
    <x v="0"/>
    <x v="5"/>
    <s v="Paneer Tikka Pizzabun"/>
    <x v="0"/>
    <n v="72"/>
    <s v="Adrien Martin"/>
    <n v="6"/>
    <n v="0.14048396352986114"/>
    <n v="371.31092775510001"/>
  </r>
  <r>
    <s v="PBOR00218"/>
    <x v="1"/>
    <x v="3"/>
    <s v="Crispy Chole Pizzabun"/>
    <x v="0"/>
    <n v="65"/>
    <s v="Albain Forestier"/>
    <n v="8"/>
    <n v="0.37872981249566817"/>
    <n v="323.06049750225253"/>
  </r>
  <r>
    <s v="PBOR00219"/>
    <x v="2"/>
    <x v="36"/>
    <s v="Large Paneer Tikka Pizzabun"/>
    <x v="1"/>
    <n v="250"/>
    <s v="Roch Cousineau"/>
    <n v="2"/>
    <n v="0.71515589694127546"/>
    <n v="142.42205152936228"/>
  </r>
  <r>
    <s v="PBOR00220"/>
    <x v="3"/>
    <x v="24"/>
    <s v="Medium Crispy Chole Pizzabun"/>
    <x v="0"/>
    <n v="130"/>
    <s v="Adrien Martin"/>
    <n v="6"/>
    <n v="0.21412519358799298"/>
    <n v="612.98234900136549"/>
  </r>
  <r>
    <s v="PBOR00221"/>
    <x v="0"/>
    <x v="21"/>
    <s v="Paneer Tikka Pizzabun"/>
    <x v="0"/>
    <n v="72"/>
    <s v="Albain Forestier"/>
    <n v="6"/>
    <n v="0.16455091596073168"/>
    <n v="360.9140043049639"/>
  </r>
  <r>
    <s v="PBOR00222"/>
    <x v="1"/>
    <x v="32"/>
    <s v="Crispy Chole Pizzabun"/>
    <x v="0"/>
    <n v="65"/>
    <s v="Roch Cousineau"/>
    <n v="4"/>
    <n v="0.25666907491668522"/>
    <n v="193.26604052166184"/>
  </r>
  <r>
    <s v="PBOR00223"/>
    <x v="2"/>
    <x v="4"/>
    <s v="Large Paneer Tikka Pizzabun"/>
    <x v="0"/>
    <n v="250"/>
    <s v="Adrien Martin"/>
    <n v="3"/>
    <n v="0.90160231788426648"/>
    <n v="73.798261586800137"/>
  </r>
  <r>
    <s v="PBOR00224"/>
    <x v="3"/>
    <x v="2"/>
    <s v="Medium Crispy Chole Pizzabun"/>
    <x v="0"/>
    <n v="130"/>
    <s v="Albain Forestier"/>
    <n v="2"/>
    <n v="0.320164833885899"/>
    <n v="176.75714318966627"/>
  </r>
  <r>
    <s v="PBOR00225"/>
    <x v="4"/>
    <x v="27"/>
    <s v="Minty Pizzabun"/>
    <x v="1"/>
    <n v="60"/>
    <s v="Roch Cousineau"/>
    <n v="9"/>
    <n v="0.13498450487731639"/>
    <n v="467.10836736624913"/>
  </r>
  <r>
    <s v="PBOR00226"/>
    <x v="5"/>
    <x v="0"/>
    <s v="Aloo Shots Pizzabun"/>
    <x v="0"/>
    <n v="95"/>
    <s v="Adrien Martin"/>
    <n v="5"/>
    <n v="0.91789593738279973"/>
    <n v="38.999429743170126"/>
  </r>
  <r>
    <s v="PBOR00227"/>
    <x v="0"/>
    <x v="1"/>
    <s v="Paneer Tikka Pizzabun"/>
    <x v="0"/>
    <n v="72"/>
    <s v="Albain Forestier"/>
    <n v="3"/>
    <n v="0.98021726342122206"/>
    <n v="4.2730711010160345"/>
  </r>
  <r>
    <s v="PBOR00228"/>
    <x v="1"/>
    <x v="28"/>
    <s v="Crispy Chole Pizzabun"/>
    <x v="0"/>
    <n v="65"/>
    <s v="Roch Cousineau"/>
    <n v="7"/>
    <n v="6.7354248366482961E-2"/>
    <n v="424.35381699325023"/>
  </r>
  <r>
    <s v="PBOR00229"/>
    <x v="2"/>
    <x v="8"/>
    <s v="Large Paneer Tikka Pizzabun"/>
    <x v="1"/>
    <n v="250"/>
    <s v="Adrien Martin"/>
    <n v="2"/>
    <n v="0.49907272133883429"/>
    <n v="250.46363933058285"/>
  </r>
  <r>
    <s v="PBOR00230"/>
    <x v="3"/>
    <x v="33"/>
    <s v="Medium Crispy Chole Pizzabun"/>
    <x v="1"/>
    <n v="130"/>
    <s v="Albain Forestier"/>
    <n v="5"/>
    <n v="0.61466468459589796"/>
    <n v="250.46795501266632"/>
  </r>
  <r>
    <s v="PBOR00231"/>
    <x v="0"/>
    <x v="14"/>
    <s v="Paneer Tikka Pizzabun"/>
    <x v="1"/>
    <n v="72"/>
    <s v="Roch Cousineau"/>
    <n v="7"/>
    <n v="0.94639798804768638"/>
    <n v="27.015414023966066"/>
  </r>
  <r>
    <s v="PBOR00232"/>
    <x v="1"/>
    <x v="16"/>
    <s v="Crispy Chole Pizzabun"/>
    <x v="1"/>
    <n v="65"/>
    <s v="Adrien Martin"/>
    <n v="10"/>
    <n v="0.95168663838417633"/>
    <n v="31.403685050285386"/>
  </r>
  <r>
    <s v="PBOR00233"/>
    <x v="2"/>
    <x v="17"/>
    <s v="Large Paneer Tikka Pizzabun"/>
    <x v="1"/>
    <n v="250"/>
    <s v="Albain Forestier"/>
    <n v="2"/>
    <n v="0.55958868077394219"/>
    <n v="220.2056596130289"/>
  </r>
  <r>
    <s v="PBOR00234"/>
    <x v="3"/>
    <x v="17"/>
    <s v="Medium Crispy Chole Pizzabun"/>
    <x v="1"/>
    <n v="130"/>
    <s v="Roch Cousineau"/>
    <n v="2"/>
    <n v="0.81003936677165544"/>
    <n v="49.389764639369588"/>
  </r>
  <r>
    <s v="PBOR00235"/>
    <x v="0"/>
    <x v="5"/>
    <s v="Paneer Tikka Pizzabun"/>
    <x v="1"/>
    <n v="72"/>
    <s v="Roch Cousineau"/>
    <n v="12"/>
    <n v="0.35450072343254235"/>
    <n v="557.71137495428343"/>
  </r>
  <r>
    <s v="PBOR00236"/>
    <x v="1"/>
    <x v="16"/>
    <s v="Crispy Chole Pizzabun"/>
    <x v="0"/>
    <n v="65"/>
    <s v="Adrien Martin"/>
    <n v="11"/>
    <n v="0.34895469608332785"/>
    <n v="465.49739230042059"/>
  </r>
  <r>
    <s v="PBOR00237"/>
    <x v="2"/>
    <x v="1"/>
    <s v="Large Paneer Tikka Pizzabun"/>
    <x v="0"/>
    <n v="250"/>
    <s v="Albain Forestier"/>
    <n v="2"/>
    <n v="0.52279578451533193"/>
    <n v="238.60210774233403"/>
  </r>
  <r>
    <s v="PBOR00238"/>
    <x v="3"/>
    <x v="18"/>
    <s v="Medium Crispy Chole Pizzabun"/>
    <x v="0"/>
    <n v="130"/>
    <s v="Roch Cousineau"/>
    <n v="3"/>
    <n v="0.69617887937852907"/>
    <n v="118.49023704237366"/>
  </r>
  <r>
    <s v="PBOR00239"/>
    <x v="0"/>
    <x v="3"/>
    <s v="Paneer Tikka Pizzabun"/>
    <x v="1"/>
    <n v="72"/>
    <s v="Adrien Martin"/>
    <n v="6"/>
    <n v="0.55638354082081654"/>
    <n v="191.64231036540727"/>
  </r>
  <r>
    <s v="PBOR00240"/>
    <x v="1"/>
    <x v="19"/>
    <s v="Crispy Chole Pizzabun"/>
    <x v="1"/>
    <n v="65"/>
    <s v="Albain Forestier"/>
    <n v="8"/>
    <n v="7.8132692098414003E-2"/>
    <n v="479.37100010882472"/>
  </r>
  <r>
    <s v="PBOR00241"/>
    <x v="2"/>
    <x v="20"/>
    <s v="Large Paneer Tikka Pizzabun"/>
    <x v="1"/>
    <n v="250"/>
    <s v="Roch Cousineau"/>
    <n v="1"/>
    <n v="0.37783112687678633"/>
    <n v="155.54221828080341"/>
  </r>
  <r>
    <s v="PBOR00242"/>
    <x v="3"/>
    <x v="21"/>
    <s v="Medium Crispy Chole Pizzabun"/>
    <x v="1"/>
    <n v="130"/>
    <s v="Adrien Martin"/>
    <n v="7"/>
    <n v="0.34200944354303275"/>
    <n v="598.77140637584023"/>
  </r>
  <r>
    <s v="PBOR00243"/>
    <x v="4"/>
    <x v="22"/>
    <s v="Minty Pizzabun"/>
    <x v="1"/>
    <n v="60"/>
    <s v="Albain Forestier"/>
    <n v="11"/>
    <n v="0.92737976442865855"/>
    <n v="47.929355477085359"/>
  </r>
  <r>
    <s v="PBOR00244"/>
    <x v="0"/>
    <x v="23"/>
    <s v="Paneer Tikka Pizzabun"/>
    <x v="1"/>
    <n v="72"/>
    <s v="Roch Cousineau"/>
    <n v="6"/>
    <n v="0.96938667185148797"/>
    <n v="13.224957760157197"/>
  </r>
  <r>
    <s v="PBOR00245"/>
    <x v="1"/>
    <x v="24"/>
    <s v="Crispy Chole Pizzabun"/>
    <x v="1"/>
    <n v="65"/>
    <s v="Adrien Martin"/>
    <n v="6"/>
    <n v="0.24406307827004359"/>
    <n v="294.81539947468298"/>
  </r>
  <r>
    <s v="PBOR00246"/>
    <x v="2"/>
    <x v="16"/>
    <s v="Large Paneer Tikka Pizzabun"/>
    <x v="0"/>
    <n v="250"/>
    <s v="Albain Forestier"/>
    <n v="2"/>
    <n v="0.931057824254786"/>
    <n v="34.471087872607001"/>
  </r>
  <r>
    <s v="PBOR00247"/>
    <x v="3"/>
    <x v="25"/>
    <s v="Medium Crispy Chole Pizzabun"/>
    <x v="0"/>
    <n v="130"/>
    <s v="Roch Cousineau"/>
    <n v="4"/>
    <n v="0.67570229189541975"/>
    <n v="168.63480821438174"/>
  </r>
  <r>
    <s v="PBOR00248"/>
    <x v="0"/>
    <x v="6"/>
    <s v="Paneer Tikka Pizzabun"/>
    <x v="0"/>
    <n v="72"/>
    <s v="Adrien Martin"/>
    <n v="7"/>
    <n v="0.91192982577548221"/>
    <n v="44.38736780915697"/>
  </r>
  <r>
    <s v="PBOR00249"/>
    <x v="1"/>
    <x v="2"/>
    <s v="Crispy Chole Pizzabun"/>
    <x v="1"/>
    <n v="65"/>
    <s v="Albain Forestier"/>
    <n v="13"/>
    <n v="0.46313611506175134"/>
    <n v="453.64998277282012"/>
  </r>
  <r>
    <s v="PBOR00250"/>
    <x v="2"/>
    <x v="26"/>
    <s v="Large Paneer Tikka Pizzabun"/>
    <x v="1"/>
    <n v="250"/>
    <s v="Roch Cousineau"/>
    <n v="1"/>
    <n v="5.3530222562513607E-2"/>
    <n v="236.6174443593716"/>
  </r>
  <r>
    <s v="PBOR00251"/>
    <x v="3"/>
    <x v="4"/>
    <s v="Medium Crispy Chole Pizzabun"/>
    <x v="1"/>
    <n v="130"/>
    <s v="Adrien Martin"/>
    <n v="2"/>
    <n v="0.10135414856508229"/>
    <n v="233.64792137307862"/>
  </r>
  <r>
    <s v="PBOR00252"/>
    <x v="4"/>
    <x v="27"/>
    <s v="Minty Pizzabun"/>
    <x v="1"/>
    <n v="60"/>
    <s v="Albain Forestier"/>
    <n v="10"/>
    <n v="0.15413196820236597"/>
    <n v="507.52081907858042"/>
  </r>
  <r>
    <s v="PBOR00253"/>
    <x v="5"/>
    <x v="15"/>
    <s v="Aloo Shots Pizzabun"/>
    <x v="1"/>
    <n v="95"/>
    <s v="Roch Cousineau"/>
    <n v="4"/>
    <n v="0.99147229272651061"/>
    <n v="3.2405287639259694"/>
  </r>
  <r>
    <s v="PBOR00254"/>
    <x v="0"/>
    <x v="28"/>
    <s v="Paneer Tikka Pizzabun"/>
    <x v="1"/>
    <n v="72"/>
    <s v="Adrien Martin"/>
    <n v="4"/>
    <n v="0.26792541838229555"/>
    <n v="210.83747950589887"/>
  </r>
  <r>
    <s v="PBOR00255"/>
    <x v="1"/>
    <x v="8"/>
    <s v="Crispy Chole Pizzabun"/>
    <x v="1"/>
    <n v="65"/>
    <s v="Albain Forestier"/>
    <n v="7"/>
    <n v="0.67400237007588726"/>
    <n v="148.3289216154713"/>
  </r>
  <r>
    <s v="PBOR00256"/>
    <x v="2"/>
    <x v="6"/>
    <s v="Large Paneer Tikka Pizzabun"/>
    <x v="0"/>
    <n v="250"/>
    <s v="Roch Cousineau"/>
    <n v="2"/>
    <n v="0.10779012567415547"/>
    <n v="446.10493716292228"/>
  </r>
  <r>
    <s v="PBOR00257"/>
    <x v="3"/>
    <x v="27"/>
    <s v="Medium Crispy Chole Pizzabun"/>
    <x v="0"/>
    <n v="130"/>
    <s v="Adrien Martin"/>
    <n v="4"/>
    <n v="6.5825812137458972E-2"/>
    <n v="485.77057768852131"/>
  </r>
  <r>
    <s v="PBOR00258"/>
    <x v="0"/>
    <x v="10"/>
    <s v="Paneer Tikka Pizzabun"/>
    <x v="0"/>
    <n v="72"/>
    <s v="Albain Forestier"/>
    <n v="11"/>
    <n v="0.36167362480508147"/>
    <n v="505.55448915437546"/>
  </r>
  <r>
    <s v="PBOR00259"/>
    <x v="1"/>
    <x v="29"/>
    <s v="Crispy Chole Pizzabun"/>
    <x v="1"/>
    <n v="65"/>
    <s v="Roch Cousineau"/>
    <n v="9"/>
    <n v="0.15611277710708626"/>
    <n v="493.67402539235451"/>
  </r>
  <r>
    <s v="PBOR00260"/>
    <x v="2"/>
    <x v="30"/>
    <s v="Large Paneer Tikka Pizzabun"/>
    <x v="1"/>
    <n v="250"/>
    <s v="Adrien Martin"/>
    <n v="2"/>
    <n v="0.11892962947938523"/>
    <n v="440.5351852603074"/>
  </r>
  <r>
    <s v="PBOR00261"/>
    <x v="3"/>
    <x v="31"/>
    <s v="Medium Crispy Chole Pizzabun"/>
    <x v="1"/>
    <n v="130"/>
    <s v="Albain Forestier"/>
    <n v="5"/>
    <n v="0.94178498482348294"/>
    <n v="37.839759864736088"/>
  </r>
  <r>
    <s v="PBOR00262"/>
    <x v="4"/>
    <x v="27"/>
    <s v="Minty Pizzabun"/>
    <x v="1"/>
    <n v="60"/>
    <s v="Roch Cousineau"/>
    <n v="5"/>
    <n v="0.82224390590219021"/>
    <n v="53.326828229342937"/>
  </r>
  <r>
    <s v="PBOR00263"/>
    <x v="0"/>
    <x v="29"/>
    <s v="Paneer Tikka Pizzabun"/>
    <x v="1"/>
    <n v="72"/>
    <s v="Adrien Martin"/>
    <n v="10"/>
    <n v="1.5473035826796155E-2"/>
    <n v="708.85941420470681"/>
  </r>
  <r>
    <s v="PBOR00264"/>
    <x v="1"/>
    <x v="1"/>
    <s v="Crispy Chole Pizzabun"/>
    <x v="1"/>
    <n v="65"/>
    <s v="Albain Forestier"/>
    <n v="3"/>
    <n v="0.57002189482885535"/>
    <n v="83.845730508373208"/>
  </r>
  <r>
    <s v="PBOR00265"/>
    <x v="2"/>
    <x v="11"/>
    <s v="Large Paneer Tikka Pizzabun"/>
    <x v="0"/>
    <n v="250"/>
    <s v="Roch Cousineau"/>
    <n v="3"/>
    <n v="0.22169123462523532"/>
    <n v="583.73157403107348"/>
  </r>
  <r>
    <s v="PBOR00266"/>
    <x v="3"/>
    <x v="5"/>
    <s v="Medium Crispy Chole Pizzabun"/>
    <x v="1"/>
    <n v="130"/>
    <s v="Adrien Martin"/>
    <n v="6"/>
    <n v="0.16327712663351335"/>
    <n v="652.64384122585955"/>
  </r>
  <r>
    <s v="PBOR00267"/>
    <x v="0"/>
    <x v="2"/>
    <s v="Paneer Tikka Pizzabun"/>
    <x v="0"/>
    <n v="72"/>
    <s v="Albain Forestier"/>
    <n v="9"/>
    <n v="0.71431849239690393"/>
    <n v="185.12161692680627"/>
  </r>
  <r>
    <s v="PBOR00268"/>
    <x v="1"/>
    <x v="31"/>
    <s v="Crispy Chole Pizzabun"/>
    <x v="1"/>
    <n v="65"/>
    <s v="Roch Cousineau"/>
    <n v="7"/>
    <n v="0.58151491016386692"/>
    <n v="190.41071587544056"/>
  </r>
  <r>
    <s v="PBOR00269"/>
    <x v="2"/>
    <x v="3"/>
    <s v="Large Paneer Tikka Pizzabun"/>
    <x v="0"/>
    <n v="250"/>
    <s v="Adrien Martin"/>
    <n v="1"/>
    <n v="0.94025500085845537"/>
    <n v="14.936249785386158"/>
  </r>
  <r>
    <s v="PBOR00270"/>
    <x v="3"/>
    <x v="25"/>
    <s v="Medium Crispy Chole Pizzabun"/>
    <x v="1"/>
    <n v="130"/>
    <s v="Albain Forestier"/>
    <n v="3"/>
    <n v="0.85696007733376245"/>
    <n v="55.785569839832647"/>
  </r>
  <r>
    <s v="PBOR00271"/>
    <x v="4"/>
    <x v="7"/>
    <s v="Minty Pizzabun"/>
    <x v="0"/>
    <n v="60"/>
    <s v="Roch Cousineau"/>
    <n v="6"/>
    <n v="0.73704670632037661"/>
    <n v="94.663185724664416"/>
  </r>
  <r>
    <s v="PBOR00272"/>
    <x v="5"/>
    <x v="25"/>
    <s v="Aloo Shots Pizzabun"/>
    <x v="1"/>
    <n v="95"/>
    <s v="Adrien Martin"/>
    <n v="5"/>
    <n v="0.99556674564351355"/>
    <n v="2.1057958193310631"/>
  </r>
  <r>
    <s v="PBOR00273"/>
    <x v="0"/>
    <x v="32"/>
    <s v="Paneer Tikka Pizzabun"/>
    <x v="0"/>
    <n v="72"/>
    <s v="Albain Forestier"/>
    <n v="8"/>
    <n v="0.82336237784945987"/>
    <n v="101.74327035871111"/>
  </r>
  <r>
    <s v="PBOR00274"/>
    <x v="1"/>
    <x v="33"/>
    <s v="Crispy Chole Pizzabun"/>
    <x v="1"/>
    <n v="65"/>
    <s v="Roch Cousineau"/>
    <n v="13"/>
    <n v="0.21429857063805535"/>
    <n v="663.91770781084324"/>
  </r>
  <r>
    <s v="PBOR00275"/>
    <x v="2"/>
    <x v="33"/>
    <s v="Large Paneer Tikka Pizzabun"/>
    <x v="0"/>
    <n v="250"/>
    <s v="Adrien Martin"/>
    <n v="2"/>
    <n v="0.9858246368711242"/>
    <n v="7.0876815644378972"/>
  </r>
  <r>
    <s v="PBOR00276"/>
    <x v="3"/>
    <x v="22"/>
    <s v="Medium Crispy Chole Pizzabun"/>
    <x v="1"/>
    <n v="130"/>
    <s v="Albain Forestier"/>
    <n v="6"/>
    <n v="2.0787857004193944E-2"/>
    <n v="763.78547153672878"/>
  </r>
  <r>
    <s v="PBOR00277"/>
    <x v="0"/>
    <x v="34"/>
    <s v="Paneer Tikka Pizzabun"/>
    <x v="0"/>
    <n v="72"/>
    <s v="Roch Cousineau"/>
    <n v="8"/>
    <n v="0.4043041551106823"/>
    <n v="343.120806656247"/>
  </r>
  <r>
    <s v="PBOR00278"/>
    <x v="1"/>
    <x v="7"/>
    <s v="Crispy Chole Pizzabun"/>
    <x v="1"/>
    <n v="65"/>
    <s v="Adrien Martin"/>
    <n v="6"/>
    <n v="0.86228936216370378"/>
    <n v="53.707148756155526"/>
  </r>
  <r>
    <s v="PBOR00279"/>
    <x v="2"/>
    <x v="3"/>
    <s v="Large Paneer Tikka Pizzabun"/>
    <x v="0"/>
    <n v="250"/>
    <s v="Albain Forestier"/>
    <n v="3"/>
    <n v="0.20267200262393703"/>
    <n v="597.99599803204728"/>
  </r>
  <r>
    <s v="PBOR00280"/>
    <x v="3"/>
    <x v="31"/>
    <s v="Paneer Tikka Pizzabun"/>
    <x v="1"/>
    <n v="72"/>
    <s v="Roch Cousineau"/>
    <n v="6"/>
    <n v="0.42721330596562979"/>
    <n v="247.44385182284793"/>
  </r>
  <r>
    <s v="PBOR00281"/>
    <x v="0"/>
    <x v="4"/>
    <s v="Crispy Chole Pizzabun"/>
    <x v="0"/>
    <n v="65"/>
    <s v="Roch Cousineau"/>
    <n v="13"/>
    <n v="0.87108149970897442"/>
    <n v="108.93613274591662"/>
  </r>
  <r>
    <s v="PBOR00282"/>
    <x v="1"/>
    <x v="34"/>
    <s v="Large Paneer Tikka Pizzabun"/>
    <x v="1"/>
    <n v="250"/>
    <s v="Adrien Martin"/>
    <n v="1"/>
    <n v="2.6358009716956676E-2"/>
    <n v="243.41049757076084"/>
  </r>
  <r>
    <s v="PBOR00283"/>
    <x v="2"/>
    <x v="13"/>
    <s v="Medium Crispy Chole Pizzabun"/>
    <x v="1"/>
    <n v="130"/>
    <s v="Albain Forestier"/>
    <n v="3"/>
    <n v="0.77767785740350603"/>
    <n v="86.705635612632648"/>
  </r>
  <r>
    <s v="PBOR00284"/>
    <x v="3"/>
    <x v="35"/>
    <s v="Paneer Tikka Pizzabun"/>
    <x v="1"/>
    <n v="72"/>
    <s v="Roch Cousineau"/>
    <n v="3"/>
    <n v="0.68682565144107521"/>
    <n v="67.645659288727757"/>
  </r>
  <r>
    <s v="PBOR00285"/>
    <x v="0"/>
    <x v="2"/>
    <s v="Crispy Chole Pizzabun"/>
    <x v="1"/>
    <n v="65"/>
    <s v="Adrien Martin"/>
    <n v="14"/>
    <n v="0.58269109940879071"/>
    <n v="379.75109953800046"/>
  </r>
  <r>
    <s v="PBOR00286"/>
    <x v="1"/>
    <x v="13"/>
    <s v="Large Paneer Tikka Pizzabun"/>
    <x v="1"/>
    <n v="250"/>
    <s v="Albain Forestier"/>
    <n v="3"/>
    <n v="0.44339908275720785"/>
    <n v="417.45068793209413"/>
  </r>
  <r>
    <s v="PBOR00287"/>
    <x v="2"/>
    <x v="18"/>
    <s v="Medium Crispy Chole Pizzabun"/>
    <x v="0"/>
    <n v="130"/>
    <s v="Roch Cousineau"/>
    <n v="3"/>
    <n v="0.12575036810320794"/>
    <n v="340.95735643974888"/>
  </r>
  <r>
    <s v="PBOR00288"/>
    <x v="3"/>
    <x v="23"/>
    <s v="Minty Pizzabun"/>
    <x v="1"/>
    <n v="60"/>
    <s v="Adrien Martin"/>
    <n v="13"/>
    <n v="0.58443763111426095"/>
    <n v="324.13864773087647"/>
  </r>
  <r>
    <s v="PBOR00289"/>
    <x v="4"/>
    <x v="36"/>
    <s v="Paneer Tikka Pizzabun"/>
    <x v="0"/>
    <n v="72"/>
    <s v="Albain Forestier"/>
    <n v="11"/>
    <n v="0.20269838427382159"/>
    <n v="631.46287965513329"/>
  </r>
  <r>
    <s v="PBOR00290"/>
    <x v="0"/>
    <x v="37"/>
    <s v="Crispy Chole Pizzabun"/>
    <x v="1"/>
    <n v="65"/>
    <s v="Roch Cousineau"/>
    <n v="5"/>
    <n v="0.34588473967990274"/>
    <n v="212.58745960403161"/>
  </r>
  <r>
    <s v="PBOR00291"/>
    <x v="1"/>
    <x v="4"/>
    <s v="Large Paneer Tikka Pizzabun"/>
    <x v="0"/>
    <n v="250"/>
    <s v="Adrien Martin"/>
    <n v="3"/>
    <n v="0.44863071332488991"/>
    <n v="413.52696500633255"/>
  </r>
  <r>
    <s v="PBOR00292"/>
    <x v="2"/>
    <x v="3"/>
    <s v="Medium Crispy Chole Pizzabun"/>
    <x v="1"/>
    <n v="130"/>
    <s v="Albain Forestier"/>
    <n v="2"/>
    <n v="0.41195662281860623"/>
    <n v="152.89127806716238"/>
  </r>
  <r>
    <s v="PBOR00293"/>
    <x v="3"/>
    <x v="35"/>
    <s v="Paneer Tikka Pizzabun"/>
    <x v="0"/>
    <n v="72"/>
    <s v="Roch Cousineau"/>
    <n v="10"/>
    <n v="0.78611978286567918"/>
    <n v="153.99375633671099"/>
  </r>
  <r>
    <s v="PBOR00294"/>
    <x v="0"/>
    <x v="11"/>
    <s v="Crispy Chole Pizzabun"/>
    <x v="1"/>
    <n v="65"/>
    <s v="Adrien Martin"/>
    <n v="12"/>
    <n v="0.82093526112515247"/>
    <n v="139.67049632238107"/>
  </r>
  <r>
    <s v="PBOR00295"/>
    <x v="1"/>
    <x v="10"/>
    <s v="Large Paneer Tikka Pizzabun"/>
    <x v="0"/>
    <n v="250"/>
    <s v="Albain Forestier"/>
    <n v="3"/>
    <n v="0.5655055849614361"/>
    <n v="325.87081127892293"/>
  </r>
  <r>
    <s v="PBOR00296"/>
    <x v="2"/>
    <x v="1"/>
    <s v="Medium Crispy Chole Pizzabun"/>
    <x v="1"/>
    <n v="130"/>
    <s v="Roch Cousineau"/>
    <n v="4"/>
    <n v="0.48001599413027629"/>
    <n v="270.39168305225633"/>
  </r>
  <r>
    <s v="PBOR00297"/>
    <x v="3"/>
    <x v="17"/>
    <s v="Minty Pizzabun"/>
    <x v="0"/>
    <n v="60"/>
    <s v="Adrien Martin"/>
    <n v="9"/>
    <n v="0.80703544305681518"/>
    <n v="104.2008607493198"/>
  </r>
  <r>
    <s v="PBOR00298"/>
    <x v="4"/>
    <x v="17"/>
    <s v="Aloo Shots Pizzabun"/>
    <x v="1"/>
    <n v="95"/>
    <s v="Albain Forestier"/>
    <n v="6"/>
    <n v="0.13472953271650978"/>
    <n v="493.20416635158944"/>
  </r>
  <r>
    <s v="PBOR00299"/>
    <x v="5"/>
    <x v="37"/>
    <s v="Paneer Tikka Pizzabun"/>
    <x v="0"/>
    <n v="72"/>
    <s v="Roch Cousineau"/>
    <n v="9"/>
    <n v="0.53735244514022174"/>
    <n v="299.7956155491363"/>
  </r>
  <r>
    <s v="PBOR00300"/>
    <x v="0"/>
    <x v="4"/>
    <s v="Crispy Chole Pizzabun"/>
    <x v="1"/>
    <n v="65"/>
    <s v="Adrien Martin"/>
    <n v="10"/>
    <n v="0.86493253723020291"/>
    <n v="87.793850800368105"/>
  </r>
  <r>
    <s v="PBOR00301"/>
    <x v="1"/>
    <x v="2"/>
    <s v="Large Paneer Tikka Pizzabun"/>
    <x v="0"/>
    <n v="250"/>
    <s v="Albain Forestier"/>
    <n v="2"/>
    <n v="0.14635193252367351"/>
    <n v="426.82403373816322"/>
  </r>
  <r>
    <s v="PBOR00302"/>
    <x v="2"/>
    <x v="12"/>
    <s v="Medium Crispy Chole Pizzabun"/>
    <x v="1"/>
    <n v="130"/>
    <s v="Roch Cousineau"/>
    <n v="5"/>
    <n v="0.49930216593502397"/>
    <n v="325.45359214223441"/>
  </r>
  <r>
    <s v="PBOR00303"/>
    <x v="3"/>
    <x v="0"/>
    <s v="Paneer Tikka Pizzabun"/>
    <x v="0"/>
    <n v="72"/>
    <s v="Adrien Martin"/>
    <n v="4"/>
    <n v="0.16760369217058779"/>
    <n v="239.73013665487071"/>
  </r>
  <r>
    <s v="PBOR00304"/>
    <x v="0"/>
    <x v="38"/>
    <s v="Crispy Chole Pizzabun"/>
    <x v="1"/>
    <n v="65"/>
    <s v="Albain Forestier"/>
    <n v="13"/>
    <n v="0.57040391639924315"/>
    <n v="363.00869064263952"/>
  </r>
  <r>
    <s v="PBOR00305"/>
    <x v="1"/>
    <x v="1"/>
    <s v="Large Paneer Tikka Pizzabun"/>
    <x v="1"/>
    <n v="250"/>
    <s v="Roch Cousineau"/>
    <n v="2"/>
    <n v="0.35240472893682595"/>
    <n v="323.79763553158705"/>
  </r>
  <r>
    <s v="PBOR00306"/>
    <x v="2"/>
    <x v="2"/>
    <s v="Medium Crispy Chole Pizzabun"/>
    <x v="1"/>
    <n v="130"/>
    <s v="Adrien Martin"/>
    <n v="3"/>
    <n v="0.11208092156242278"/>
    <n v="346.28844059065511"/>
  </r>
  <r>
    <s v="PBOR00307"/>
    <x v="3"/>
    <x v="5"/>
    <s v="Minty Pizzabun"/>
    <x v="1"/>
    <n v="60"/>
    <s v="Albain Forestier"/>
    <n v="10"/>
    <n v="0.57839134647100132"/>
    <n v="252.9651921173992"/>
  </r>
  <r>
    <s v="PBOR00308"/>
    <x v="4"/>
    <x v="3"/>
    <s v="Paneer Tikka Pizzabun"/>
    <x v="1"/>
    <n v="72"/>
    <s v="Roch Cousineau"/>
    <n v="9"/>
    <n v="0.18785567306752626"/>
    <n v="526.26952385224297"/>
  </r>
  <r>
    <s v="PBOR00309"/>
    <x v="0"/>
    <x v="36"/>
    <s v="Crispy Chole Pizzabun"/>
    <x v="0"/>
    <n v="65"/>
    <s v="Adrien Martin"/>
    <n v="8"/>
    <n v="0.69234786906479862"/>
    <n v="159.97910808630473"/>
  </r>
  <r>
    <s v="PBOR00310"/>
    <x v="1"/>
    <x v="24"/>
    <s v="Large Paneer Tikka Pizzabun"/>
    <x v="1"/>
    <n v="250"/>
    <s v="Albain Forestier"/>
    <n v="3"/>
    <n v="0.7313105471637672"/>
    <n v="201.51708962717461"/>
  </r>
  <r>
    <s v="PBOR00311"/>
    <x v="2"/>
    <x v="21"/>
    <s v="Medium Crispy Chole Pizzabun"/>
    <x v="0"/>
    <n v="130"/>
    <s v="Roch Cousineau"/>
    <n v="3"/>
    <n v="0.39651294953245186"/>
    <n v="235.35994968234377"/>
  </r>
  <r>
    <s v="PBOR00312"/>
    <x v="3"/>
    <x v="32"/>
    <s v="Paneer Tikka Pizzabun"/>
    <x v="1"/>
    <n v="72"/>
    <s v="Adrien Martin"/>
    <n v="5"/>
    <n v="0.47053293956185105"/>
    <n v="190.60814175773362"/>
  </r>
  <r>
    <s v="PBOR00313"/>
    <x v="0"/>
    <x v="4"/>
    <s v="Crispy Chole Pizzabun"/>
    <x v="0"/>
    <n v="65"/>
    <s v="Albain Forestier"/>
    <n v="9"/>
    <n v="0.9022424845836422"/>
    <n v="57.188146518569312"/>
  </r>
  <r>
    <s v="PBOR00314"/>
    <x v="1"/>
    <x v="2"/>
    <s v="Large Paneer Tikka Pizzabun"/>
    <x v="1"/>
    <n v="250"/>
    <s v="Roch Cousineau"/>
    <n v="1"/>
    <n v="0.25057968884738369"/>
    <n v="187.35507778815409"/>
  </r>
  <r>
    <s v="PBOR00315"/>
    <x v="2"/>
    <x v="27"/>
    <s v="Medium Crispy Chole Pizzabun"/>
    <x v="0"/>
    <n v="130"/>
    <s v="Adrien Martin"/>
    <n v="4"/>
    <n v="0.56892266919679113"/>
    <n v="224.16021201766861"/>
  </r>
  <r>
    <s v="PBOR00316"/>
    <x v="3"/>
    <x v="0"/>
    <s v="Minty Pizzabun"/>
    <x v="1"/>
    <n v="60"/>
    <s v="Albain Forestier"/>
    <n v="6"/>
    <n v="3.357106137416721E-2"/>
    <n v="347.91441790529979"/>
  </r>
  <r>
    <s v="PBOR00317"/>
    <x v="4"/>
    <x v="1"/>
    <s v="Aloo Shots Pizzabun"/>
    <x v="0"/>
    <n v="95"/>
    <s v="Roch Cousineau"/>
    <n v="4"/>
    <n v="0.11797039324964398"/>
    <n v="335.17125056513527"/>
  </r>
  <r>
    <s v="PBOR00318"/>
    <x v="5"/>
    <x v="28"/>
    <s v="Paneer Tikka Pizzabun"/>
    <x v="1"/>
    <n v="72"/>
    <s v="Adrien Martin"/>
    <n v="8"/>
    <n v="2.8176385964748696E-2"/>
    <n v="559.77040168430472"/>
  </r>
  <r>
    <s v="PBOR00319"/>
    <x v="0"/>
    <x v="8"/>
    <s v="Crispy Chole Pizzabun"/>
    <x v="0"/>
    <n v="65"/>
    <s v="Albain Forestier"/>
    <n v="8"/>
    <n v="0.66941136725758887"/>
    <n v="171.90608902605379"/>
  </r>
  <r>
    <s v="PBOR00320"/>
    <x v="1"/>
    <x v="33"/>
    <s v="Large Paneer Tikka Pizzabun"/>
    <x v="1"/>
    <n v="250"/>
    <s v="Roch Cousineau"/>
    <n v="2"/>
    <n v="0.36448172495541775"/>
    <n v="317.7591375222911"/>
  </r>
  <r>
    <s v="PBOR00321"/>
    <x v="2"/>
    <x v="14"/>
    <s v="Medium Crispy Chole Pizzabun"/>
    <x v="0"/>
    <n v="130"/>
    <s v="Adrien Martin"/>
    <n v="7"/>
    <n v="0.15416488306079768"/>
    <n v="769.70995641467414"/>
  </r>
  <r>
    <s v="PBOR00322"/>
    <x v="3"/>
    <x v="16"/>
    <s v="Paneer Tikka Pizzabun"/>
    <x v="1"/>
    <n v="72"/>
    <s v="Albain Forestier"/>
    <n v="7"/>
    <n v="0.66646609625242947"/>
    <n v="168.10108748877553"/>
  </r>
  <r>
    <s v="PBOR00323"/>
    <x v="0"/>
    <x v="17"/>
    <s v="Crispy Chole Pizzabun"/>
    <x v="0"/>
    <n v="65"/>
    <s v="Roch Cousineau"/>
    <n v="4"/>
    <n v="0.69183752034253276"/>
    <n v="80.122244710941487"/>
  </r>
  <r>
    <s v="PBOR00324"/>
    <x v="1"/>
    <x v="17"/>
    <s v="Large Paneer Tikka Pizzabun"/>
    <x v="1"/>
    <n v="250"/>
    <s v="Adrien Martin"/>
    <n v="2"/>
    <n v="0.14649599591234685"/>
    <n v="426.75200204382656"/>
  </r>
  <r>
    <s v="PBOR00325"/>
    <x v="2"/>
    <x v="5"/>
    <s v="Medium Crispy Chole Pizzabun"/>
    <x v="0"/>
    <n v="130"/>
    <s v="Albain Forestier"/>
    <n v="2"/>
    <n v="0.98540635482364014"/>
    <n v="3.7943477458535635"/>
  </r>
  <r>
    <s v="PBOR00326"/>
    <x v="3"/>
    <x v="16"/>
    <s v="Paneer Tikka Pizzabun"/>
    <x v="1"/>
    <n v="72"/>
    <s v="Roch Cousineau"/>
    <n v="9"/>
    <n v="0.32091320735788698"/>
    <n v="440.04824163208923"/>
  </r>
  <r>
    <s v="PBOR00327"/>
    <x v="0"/>
    <x v="1"/>
    <s v="Crispy Chole Pizzabun"/>
    <x v="1"/>
    <n v="65"/>
    <s v="Roch Cousineau"/>
    <n v="9"/>
    <n v="0.94495394109275654"/>
    <n v="32.201944460737423"/>
  </r>
  <r>
    <s v="PBOR00328"/>
    <x v="1"/>
    <x v="18"/>
    <s v="Large Paneer Tikka Pizzabun"/>
    <x v="1"/>
    <n v="250"/>
    <s v="Adrien Martin"/>
    <n v="2"/>
    <n v="0.50906748027199666"/>
    <n v="245.46625986400167"/>
  </r>
  <r>
    <s v="PBOR00329"/>
    <x v="2"/>
    <x v="3"/>
    <s v="Medium Crispy Chole Pizzabun"/>
    <x v="1"/>
    <n v="130"/>
    <s v="Albain Forestier"/>
    <n v="4"/>
    <n v="0.66059053266706258"/>
    <n v="176.49292301312747"/>
  </r>
  <r>
    <s v="PBOR00330"/>
    <x v="3"/>
    <x v="19"/>
    <s v="Paneer Tikka Pizzabun"/>
    <x v="1"/>
    <n v="72"/>
    <s v="Roch Cousineau"/>
    <n v="8"/>
    <n v="0.89615601403703116"/>
    <n v="59.814135914670054"/>
  </r>
  <r>
    <s v="PBOR00331"/>
    <x v="0"/>
    <x v="20"/>
    <s v="Crispy Chole Pizzabun"/>
    <x v="0"/>
    <n v="65"/>
    <s v="Adrien Martin"/>
    <n v="8"/>
    <n v="0.133950017527805"/>
    <n v="450.34599088554143"/>
  </r>
  <r>
    <s v="PBOR00332"/>
    <x v="1"/>
    <x v="21"/>
    <s v="Large Paneer Tikka Pizzabun"/>
    <x v="1"/>
    <n v="250"/>
    <s v="Albain Forestier"/>
    <n v="4"/>
    <n v="0.3823797297998468"/>
    <n v="617.62027020015319"/>
  </r>
  <r>
    <s v="PBOR00333"/>
    <x v="2"/>
    <x v="22"/>
    <s v="Medium Crispy Chole Pizzabun"/>
    <x v="0"/>
    <n v="130"/>
    <s v="Roch Cousineau"/>
    <n v="2"/>
    <n v="0.15073825601342095"/>
    <n v="220.80805343651056"/>
  </r>
  <r>
    <s v="PBOR00334"/>
    <x v="3"/>
    <x v="23"/>
    <s v="Minty Pizzabun"/>
    <x v="1"/>
    <n v="60"/>
    <s v="Adrien Martin"/>
    <n v="10"/>
    <n v="0.96395128247903139"/>
    <n v="21.629230512581167"/>
  </r>
  <r>
    <s v="PBOR00335"/>
    <x v="4"/>
    <x v="24"/>
    <s v="Paneer Tikka Pizzabun"/>
    <x v="0"/>
    <n v="72"/>
    <s v="Albain Forestier"/>
    <n v="5"/>
    <n v="0.93894083705684528"/>
    <n v="21.9812986595357"/>
  </r>
  <r>
    <s v="PBOR00336"/>
    <x v="0"/>
    <x v="16"/>
    <s v="Crispy Chole Pizzabun"/>
    <x v="1"/>
    <n v="65"/>
    <s v="Roch Cousineau"/>
    <n v="7"/>
    <n v="0.90335270578489546"/>
    <n v="43.974518867872568"/>
  </r>
  <r>
    <s v="PBOR00337"/>
    <x v="1"/>
    <x v="25"/>
    <s v="Large Paneer Tikka Pizzabun"/>
    <x v="0"/>
    <n v="250"/>
    <s v="Adrien Martin"/>
    <n v="2"/>
    <n v="0.62209777321995885"/>
    <n v="188.95111339002057"/>
  </r>
  <r>
    <s v="PBOR00338"/>
    <x v="2"/>
    <x v="6"/>
    <s v="Medium Crispy Chole Pizzabun"/>
    <x v="1"/>
    <n v="130"/>
    <s v="Albain Forestier"/>
    <n v="5"/>
    <n v="6.1676790443396468E-2"/>
    <n v="609.9100862117923"/>
  </r>
  <r>
    <s v="PBOR00339"/>
    <x v="3"/>
    <x v="2"/>
    <s v="Paneer Tikka Pizzabun"/>
    <x v="0"/>
    <n v="72"/>
    <s v="Roch Cousineau"/>
    <n v="12"/>
    <n v="0.49213521317421138"/>
    <n v="438.79517581748138"/>
  </r>
  <r>
    <s v="PBOR00340"/>
    <x v="0"/>
    <x v="26"/>
    <s v="Crispy Chole Pizzabun"/>
    <x v="1"/>
    <n v="65"/>
    <s v="Adrien Martin"/>
    <n v="9"/>
    <n v="0.69552711985994919"/>
    <n v="178.11663488192971"/>
  </r>
  <r>
    <s v="PBOR00341"/>
    <x v="1"/>
    <x v="4"/>
    <s v="Large Paneer Tikka Pizzabun"/>
    <x v="0"/>
    <n v="250"/>
    <s v="Albain Forestier"/>
    <n v="4"/>
    <n v="0.54528907278354111"/>
    <n v="454.71092721645891"/>
  </r>
  <r>
    <s v="PBOR00342"/>
    <x v="2"/>
    <x v="27"/>
    <s v="Medium Crispy Chole Pizzabun"/>
    <x v="1"/>
    <n v="130"/>
    <s v="Roch Cousineau"/>
    <n v="4"/>
    <n v="0.35199536538224718"/>
    <n v="336.96241000123149"/>
  </r>
  <r>
    <s v="PBOR00343"/>
    <x v="3"/>
    <x v="15"/>
    <s v="Minty Pizzabun"/>
    <x v="0"/>
    <n v="60"/>
    <s v="Adrien Martin"/>
    <n v="6"/>
    <n v="6.0292533629099143E-2"/>
    <n v="338.29468789352433"/>
  </r>
  <r>
    <s v="PBOR00344"/>
    <x v="4"/>
    <x v="28"/>
    <s v="Aloo Shots Pizzabun"/>
    <x v="1"/>
    <n v="95"/>
    <s v="Albain Forestier"/>
    <n v="7"/>
    <n v="4.1434457281700587E-2"/>
    <n v="637.44608590766916"/>
  </r>
  <r>
    <s v="PBOR00345"/>
    <x v="5"/>
    <x v="8"/>
    <s v="Paneer Tikka Pizzabun"/>
    <x v="0"/>
    <n v="72"/>
    <s v="Roch Cousineau"/>
    <n v="3"/>
    <n v="0.29516274884520199"/>
    <n v="152.24484624943636"/>
  </r>
  <r>
    <s v="PBOR00346"/>
    <x v="0"/>
    <x v="6"/>
    <s v="Crispy Chole Pizzabun"/>
    <x v="1"/>
    <n v="65"/>
    <s v="Adrien Martin"/>
    <n v="4"/>
    <n v="0.68154294540119276"/>
    <n v="82.798834195689878"/>
  </r>
  <r>
    <s v="PBOR00347"/>
    <x v="1"/>
    <x v="27"/>
    <s v="Large Paneer Tikka Pizzabun"/>
    <x v="0"/>
    <n v="250"/>
    <s v="Albain Forestier"/>
    <n v="1"/>
    <n v="0.52632346520297391"/>
    <n v="118.41913369925652"/>
  </r>
  <r>
    <s v="PBOR00348"/>
    <x v="2"/>
    <x v="10"/>
    <s v="Medium Crispy Chole Pizzabun"/>
    <x v="1"/>
    <n v="130"/>
    <s v="Roch Cousineau"/>
    <n v="6"/>
    <n v="5.4437687903536869E-2"/>
    <n v="737.53860343524127"/>
  </r>
  <r>
    <s v="PBOR00349"/>
    <x v="3"/>
    <x v="29"/>
    <s v="Paneer Tikka Pizzabun"/>
    <x v="1"/>
    <n v="72"/>
    <s v="Adrien Martin"/>
    <n v="10"/>
    <n v="0.95350738842174898"/>
    <n v="33.474680336340732"/>
  </r>
  <r>
    <s v="PBOR00350"/>
    <x v="0"/>
    <x v="30"/>
    <s v="Crispy Chole Pizzabun"/>
    <x v="1"/>
    <n v="65"/>
    <s v="Albain Forestier"/>
    <n v="4"/>
    <n v="0.46726651348176196"/>
    <n v="138.5107064947419"/>
  </r>
  <r>
    <s v="PBOR00351"/>
    <x v="1"/>
    <x v="31"/>
    <s v="Large Paneer Tikka Pizzabun"/>
    <x v="1"/>
    <n v="250"/>
    <s v="Roch Cousineau"/>
    <n v="2"/>
    <n v="0.6015089815611987"/>
    <n v="199.24550921940065"/>
  </r>
  <r>
    <s v="PBOR00352"/>
    <x v="2"/>
    <x v="27"/>
    <s v="Medium Crispy Chole Pizzabun"/>
    <x v="1"/>
    <n v="130"/>
    <s v="Adrien Martin"/>
    <n v="7"/>
    <n v="0.17158764742187849"/>
    <n v="753.85524084609062"/>
  </r>
  <r>
    <s v="PBOR00353"/>
    <x v="3"/>
    <x v="29"/>
    <s v="Minty Pizzabun"/>
    <x v="0"/>
    <n v="60"/>
    <s v="Albain Forestier"/>
    <n v="11"/>
    <n v="0.44731050880102885"/>
    <n v="364.77506419132095"/>
  </r>
  <r>
    <s v="PBOR00354"/>
    <x v="4"/>
    <x v="1"/>
    <s v="Paneer Tikka Pizzabun"/>
    <x v="1"/>
    <n v="72"/>
    <s v="Roch Cousineau"/>
    <n v="8"/>
    <n v="0.54246953050958213"/>
    <n v="263.53755042648072"/>
  </r>
  <r>
    <s v="PBOR00355"/>
    <x v="0"/>
    <x v="11"/>
    <s v="Crispy Chole Pizzabun"/>
    <x v="0"/>
    <n v="65"/>
    <s v="Adrien Martin"/>
    <n v="11"/>
    <n v="0.50484804947298401"/>
    <n v="354.03364462681645"/>
  </r>
  <r>
    <s v="PBOR00356"/>
    <x v="1"/>
    <x v="5"/>
    <s v="Large Paneer Tikka Pizzabun"/>
    <x v="1"/>
    <n v="250"/>
    <s v="Albain Forestier"/>
    <n v="4"/>
    <n v="9.2316747421295475E-2"/>
    <n v="907.68325257870447"/>
  </r>
  <r>
    <s v="PBOR00357"/>
    <x v="2"/>
    <x v="2"/>
    <s v="Medium Crispy Chole Pizzabun"/>
    <x v="0"/>
    <n v="130"/>
    <s v="Roch Cousineau"/>
    <n v="7"/>
    <n v="0.34907542272706216"/>
    <n v="592.34136531837339"/>
  </r>
  <r>
    <s v="PBOR00358"/>
    <x v="3"/>
    <x v="31"/>
    <s v="Paneer Tikka Pizzabun"/>
    <x v="1"/>
    <n v="72"/>
    <s v="Adrien Martin"/>
    <n v="4"/>
    <n v="0.90031823580716619"/>
    <n v="28.708348087536137"/>
  </r>
  <r>
    <s v="PBOR00359"/>
    <x v="0"/>
    <x v="3"/>
    <s v="Crispy Chole Pizzabun"/>
    <x v="0"/>
    <n v="65"/>
    <s v="Albain Forestier"/>
    <n v="5"/>
    <n v="0.18050692795462731"/>
    <n v="266.3352484147461"/>
  </r>
  <r>
    <s v="PBOR00360"/>
    <x v="1"/>
    <x v="25"/>
    <s v="Large Paneer Tikka Pizzabun"/>
    <x v="1"/>
    <n v="250"/>
    <s v="Roch Cousineau"/>
    <n v="1"/>
    <n v="2.5445092820001292E-2"/>
    <n v="243.63872679499968"/>
  </r>
  <r>
    <s v="PBOR00361"/>
    <x v="2"/>
    <x v="7"/>
    <s v="Medium Crispy Chole Pizzabun"/>
    <x v="0"/>
    <n v="130"/>
    <s v="Adrien Martin"/>
    <n v="2"/>
    <n v="0.79643741142705549"/>
    <n v="52.926273028965575"/>
  </r>
  <r>
    <s v="PBOR00362"/>
    <x v="3"/>
    <x v="25"/>
    <s v="Minty Pizzabun"/>
    <x v="1"/>
    <n v="60"/>
    <s v="Albain Forestier"/>
    <n v="14"/>
    <n v="0.16077213359827813"/>
    <n v="704.95140777744632"/>
  </r>
  <r>
    <s v="PBOR00363"/>
    <x v="4"/>
    <x v="32"/>
    <s v="Aloo Shots Pizzabun"/>
    <x v="0"/>
    <n v="95"/>
    <s v="Roch Cousineau"/>
    <n v="9"/>
    <n v="0.24693836978869843"/>
    <n v="643.8676938306628"/>
  </r>
  <r>
    <s v="PBOR00364"/>
    <x v="5"/>
    <x v="33"/>
    <s v="Paneer Tikka Pizzabun"/>
    <x v="1"/>
    <n v="72"/>
    <s v="Adrien Martin"/>
    <n v="8"/>
    <n v="0.22148207946738752"/>
    <n v="448.42632222678481"/>
  </r>
  <r>
    <s v="PBOR00365"/>
    <x v="0"/>
    <x v="33"/>
    <s v="Crispy Chole Pizzabun"/>
    <x v="0"/>
    <n v="65"/>
    <s v="Albain Forestier"/>
    <n v="11"/>
    <n v="0.71458846230959472"/>
    <n v="204.06924944863977"/>
  </r>
  <r>
    <s v="PBOR00366"/>
    <x v="1"/>
    <x v="22"/>
    <s v="Large Paneer Tikka Pizzabun"/>
    <x v="1"/>
    <n v="250"/>
    <s v="Roch Cousineau"/>
    <n v="4"/>
    <n v="0.11286694488931481"/>
    <n v="887.13305511068518"/>
  </r>
  <r>
    <s v="PBOR00367"/>
    <x v="2"/>
    <x v="34"/>
    <s v="Medium Crispy Chole Pizzabun"/>
    <x v="0"/>
    <n v="130"/>
    <s v="Adrien Martin"/>
    <n v="6"/>
    <n v="6.5283590828819849E-2"/>
    <n v="729.07879915352055"/>
  </r>
  <r>
    <s v="PBOR00368"/>
    <x v="3"/>
    <x v="7"/>
    <s v="Paneer Tikka Pizzabun"/>
    <x v="1"/>
    <n v="72"/>
    <s v="Albain Forestier"/>
    <n v="11"/>
    <n v="0.46681751998353072"/>
    <n v="422.28052417304366"/>
  </r>
  <r>
    <s v="PBOR00369"/>
    <x v="0"/>
    <x v="3"/>
    <s v="Crispy Chole Pizzabun"/>
    <x v="0"/>
    <n v="65"/>
    <s v="Roch Cousineau"/>
    <n v="9"/>
    <n v="0.92202770154223668"/>
    <n v="45.613794597791546"/>
  </r>
  <r>
    <s v="PBOR00370"/>
    <x v="1"/>
    <x v="31"/>
    <s v="Large Paneer Tikka Pizzabun"/>
    <x v="1"/>
    <n v="250"/>
    <s v="Adrien Martin"/>
    <n v="2"/>
    <n v="0.18840485753727232"/>
    <n v="405.79757123136386"/>
  </r>
  <r>
    <s v="PBOR00371"/>
    <x v="2"/>
    <x v="4"/>
    <s v="Medium Crispy Chole Pizzabun"/>
    <x v="1"/>
    <n v="130"/>
    <s v="Albain Forestier"/>
    <n v="2"/>
    <n v="0.27847072137209206"/>
    <n v="187.59761244325605"/>
  </r>
  <r>
    <s v="PBOR00372"/>
    <x v="0"/>
    <x v="34"/>
    <s v="Paneer Tikka Pizzabun"/>
    <x v="1"/>
    <n v="72"/>
    <s v="Roch Cousineau"/>
    <n v="10"/>
    <n v="0.78884251376405168"/>
    <n v="152.0333900898828"/>
  </r>
  <r>
    <s v="PBOR00373"/>
    <x v="1"/>
    <x v="13"/>
    <s v="Crispy Chole Pizzabun"/>
    <x v="1"/>
    <n v="65"/>
    <s v="Roch Cousineau"/>
    <n v="5"/>
    <n v="0.18299168548896383"/>
    <n v="265.52770221608677"/>
  </r>
  <r>
    <s v="PBOR00374"/>
    <x v="2"/>
    <x v="35"/>
    <s v="Large Paneer Tikka Pizzabun"/>
    <x v="1"/>
    <n v="250"/>
    <s v="Adrien Martin"/>
    <n v="3"/>
    <n v="0.20591715888096995"/>
    <n v="595.56213083927253"/>
  </r>
  <r>
    <s v="PBOR00375"/>
    <x v="3"/>
    <x v="2"/>
    <s v="Medium Crispy Chole Pizzabun"/>
    <x v="0"/>
    <n v="130"/>
    <s v="Albain Forestier"/>
    <n v="2"/>
    <n v="2.128339836887938E-2"/>
    <n v="254.46631642409136"/>
  </r>
  <r>
    <s v="PBOR00376"/>
    <x v="0"/>
    <x v="13"/>
    <s v="Paneer Tikka Pizzabun"/>
    <x v="1"/>
    <n v="72"/>
    <s v="Roch Cousineau"/>
    <n v="4"/>
    <n v="2.2806889019524657E-2"/>
    <n v="281.4316159623769"/>
  </r>
  <r>
    <s v="PBOR00377"/>
    <x v="1"/>
    <x v="18"/>
    <s v="Crispy Chole Pizzabun"/>
    <x v="0"/>
    <n v="65"/>
    <s v="Adrien Martin"/>
    <n v="6"/>
    <n v="0.66448214030499053"/>
    <n v="130.85196528105368"/>
  </r>
  <r>
    <s v="PBOR00378"/>
    <x v="2"/>
    <x v="23"/>
    <s v="Large Paneer Tikka Pizzabun"/>
    <x v="1"/>
    <n v="250"/>
    <s v="Albain Forestier"/>
    <n v="3"/>
    <n v="0.29151955249280481"/>
    <n v="531.36033563039643"/>
  </r>
  <r>
    <s v="PBOR00379"/>
    <x v="3"/>
    <x v="36"/>
    <s v="Medium Crispy Chole Pizzabun"/>
    <x v="0"/>
    <n v="130"/>
    <s v="Roch Cousineau"/>
    <n v="5"/>
    <n v="0.55684098110336311"/>
    <n v="288.05336228281396"/>
  </r>
  <r>
    <s v="PBOR00380"/>
    <x v="4"/>
    <x v="37"/>
    <s v="Minty Pizzabun"/>
    <x v="1"/>
    <n v="60"/>
    <s v="Adrien Martin"/>
    <n v="14"/>
    <n v="0.57240542144015649"/>
    <n v="359.17944599026856"/>
  </r>
  <r>
    <s v="PBOR00381"/>
    <x v="0"/>
    <x v="4"/>
    <s v="Paneer Tikka Pizzabun"/>
    <x v="0"/>
    <n v="72"/>
    <s v="Albain Forestier"/>
    <n v="3"/>
    <n v="8.6221643115211744E-2"/>
    <n v="197.37612508711427"/>
  </r>
  <r>
    <s v="PBOR00382"/>
    <x v="1"/>
    <x v="3"/>
    <s v="Crispy Chole Pizzabun"/>
    <x v="1"/>
    <n v="65"/>
    <s v="Roch Cousineau"/>
    <n v="10"/>
    <n v="0.95609718609661631"/>
    <n v="28.536829037199396"/>
  </r>
  <r>
    <s v="PBOR00383"/>
    <x v="2"/>
    <x v="35"/>
    <s v="Large Paneer Tikka Pizzabun"/>
    <x v="0"/>
    <n v="250"/>
    <s v="Adrien Martin"/>
    <n v="2"/>
    <n v="0.2455223768222089"/>
    <n v="377.23881158889554"/>
  </r>
  <r>
    <s v="PBOR00384"/>
    <x v="3"/>
    <x v="11"/>
    <s v="Medium Crispy Chole Pizzabun"/>
    <x v="1"/>
    <n v="130"/>
    <s v="Albain Forestier"/>
    <n v="7"/>
    <n v="0.56637632681080741"/>
    <n v="394.59754260216528"/>
  </r>
  <r>
    <s v="PBOR00385"/>
    <x v="0"/>
    <x v="10"/>
    <s v="Paneer Tikka Pizzabun"/>
    <x v="0"/>
    <n v="72"/>
    <s v="Roch Cousineau"/>
    <n v="11"/>
    <n v="4.5179835219914199E-2"/>
    <n v="756.21757050582801"/>
  </r>
  <r>
    <s v="PBOR00386"/>
    <x v="1"/>
    <x v="1"/>
    <s v="Crispy Chole Pizzabun"/>
    <x v="1"/>
    <n v="65"/>
    <s v="Adrien Martin"/>
    <n v="13"/>
    <n v="0.97345529924354934"/>
    <n v="22.430272139200806"/>
  </r>
  <r>
    <s v="PBOR00387"/>
    <x v="2"/>
    <x v="17"/>
    <s v="Large Paneer Tikka Pizzabun"/>
    <x v="0"/>
    <n v="250"/>
    <s v="Albain Forestier"/>
    <n v="3"/>
    <n v="0.56733394419124217"/>
    <n v="324.49954185656838"/>
  </r>
  <r>
    <s v="PBOR00388"/>
    <x v="3"/>
    <x v="17"/>
    <s v="Medium Crispy Chole Pizzabun"/>
    <x v="1"/>
    <n v="130"/>
    <s v="Roch Cousineau"/>
    <n v="6"/>
    <n v="0.37928431149731212"/>
    <n v="484.15823703209657"/>
  </r>
  <r>
    <s v="PBOR00389"/>
    <x v="4"/>
    <x v="37"/>
    <s v="Minty Pizzabun"/>
    <x v="0"/>
    <n v="60"/>
    <s v="Adrien Martin"/>
    <n v="15"/>
    <n v="0.62865911330533553"/>
    <n v="334.20679802519805"/>
  </r>
  <r>
    <s v="PBOR00390"/>
    <x v="5"/>
    <x v="4"/>
    <s v="Aloo Shots Pizzabun"/>
    <x v="1"/>
    <n v="95"/>
    <s v="Albain Forestier"/>
    <n v="6"/>
    <n v="0.37937934610324464"/>
    <n v="353.75377272115054"/>
  </r>
  <r>
    <s v="PBOR00391"/>
    <x v="0"/>
    <x v="2"/>
    <s v="Paneer Tikka Pizzabun"/>
    <x v="0"/>
    <n v="72"/>
    <s v="Roch Cousineau"/>
    <n v="11"/>
    <n v="0.35891515866951118"/>
    <n v="507.73919433374715"/>
  </r>
  <r>
    <s v="PBOR00392"/>
    <x v="1"/>
    <x v="12"/>
    <s v="Crispy Chole Pizzabun"/>
    <x v="1"/>
    <n v="65"/>
    <s v="Adrien Martin"/>
    <n v="13"/>
    <n v="0.90122352916020354"/>
    <n v="83.466117859628014"/>
  </r>
  <r>
    <s v="PBOR00393"/>
    <x v="2"/>
    <x v="0"/>
    <s v="Large Paneer Tikka Pizzabun"/>
    <x v="1"/>
    <n v="250"/>
    <s v="Albain Forestier"/>
    <n v="3"/>
    <n v="0.37786597877728811"/>
    <n v="466.60051591703393"/>
  </r>
  <r>
    <s v="PBOR00394"/>
    <x v="3"/>
    <x v="38"/>
    <s v="Medium Crispy Chole Pizzabun"/>
    <x v="1"/>
    <n v="130"/>
    <s v="Roch Cousineau"/>
    <n v="3"/>
    <n v="0.38913445453338702"/>
    <n v="238.23756273197907"/>
  </r>
  <r>
    <s v="PBOR00395"/>
    <x v="0"/>
    <x v="1"/>
    <s v="Paneer Tikka Pizzabun"/>
    <x v="1"/>
    <n v="72"/>
    <s v="Adrien Martin"/>
    <n v="12"/>
    <n v="0.60714667724340543"/>
    <n v="339.4252708616977"/>
  </r>
  <r>
    <s v="PBOR00396"/>
    <x v="1"/>
    <x v="2"/>
    <s v="Crispy Chole Pizzabun"/>
    <x v="1"/>
    <n v="65"/>
    <s v="Albain Forestier"/>
    <n v="8"/>
    <n v="0.17261163513710231"/>
    <n v="430.2419497287068"/>
  </r>
  <r>
    <s v="PBOR00397"/>
    <x v="2"/>
    <x v="5"/>
    <s v="Large Paneer Tikka Pizzabun"/>
    <x v="0"/>
    <n v="250"/>
    <s v="Roch Cousineau"/>
    <n v="1"/>
    <n v="3.4451566476951467E-2"/>
    <n v="241.38710838076213"/>
  </r>
  <r>
    <s v="PBOR00398"/>
    <x v="3"/>
    <x v="3"/>
    <s v="Medium Crispy Chole Pizzabun"/>
    <x v="1"/>
    <n v="130"/>
    <s v="Adrien Martin"/>
    <n v="4"/>
    <n v="0.36600821552214791"/>
    <n v="329.67572792848307"/>
  </r>
  <r>
    <s v="PBOR00399"/>
    <x v="4"/>
    <x v="36"/>
    <s v="Minty Pizzabun"/>
    <x v="0"/>
    <n v="60"/>
    <s v="Albain Forestier"/>
    <n v="4"/>
    <n v="0.36876304797324455"/>
    <n v="151.49686848642131"/>
  </r>
  <r>
    <s v="PBOR00400"/>
    <x v="0"/>
    <x v="24"/>
    <s v="Paneer Tikka Pizzabun"/>
    <x v="1"/>
    <n v="72"/>
    <s v="Roch Cousineau"/>
    <n v="12"/>
    <n v="0.78491525862060318"/>
    <n v="185.83321655179884"/>
  </r>
  <r>
    <s v="PBOR00401"/>
    <x v="1"/>
    <x v="21"/>
    <s v="Crispy Chole Pizzabun"/>
    <x v="0"/>
    <n v="65"/>
    <s v="Adrien Martin"/>
    <n v="4"/>
    <n v="0.89433154555842931"/>
    <n v="27.473798154808378"/>
  </r>
  <r>
    <s v="PBOR00402"/>
    <x v="2"/>
    <x v="32"/>
    <s v="Large Paneer Tikka Pizzabun"/>
    <x v="1"/>
    <n v="250"/>
    <s v="Albain Forestier"/>
    <n v="1"/>
    <n v="0.54494310667938251"/>
    <n v="113.76422333015438"/>
  </r>
  <r>
    <s v="PBOR00403"/>
    <x v="3"/>
    <x v="4"/>
    <s v="Medium Crispy Chole Pizzabun"/>
    <x v="0"/>
    <n v="130"/>
    <s v="Roch Cousineau"/>
    <n v="7"/>
    <n v="0.84443209424513666"/>
    <n v="141.56679423692563"/>
  </r>
  <r>
    <s v="PBOR00404"/>
    <x v="0"/>
    <x v="2"/>
    <s v="Paneer Tikka Pizzabun"/>
    <x v="1"/>
    <n v="72"/>
    <s v="Adrien Martin"/>
    <n v="7"/>
    <n v="0.11084077878058052"/>
    <n v="448.13624749458739"/>
  </r>
  <r>
    <s v="PBOR00405"/>
    <x v="1"/>
    <x v="27"/>
    <s v="Crispy Chole Pizzabun"/>
    <x v="0"/>
    <n v="65"/>
    <s v="Albain Forestier"/>
    <n v="9"/>
    <n v="0.26630312920291821"/>
    <n v="429.21266941629284"/>
  </r>
  <r>
    <s v="PBOR00406"/>
    <x v="2"/>
    <x v="0"/>
    <s v="Large Paneer Tikka Pizzabun"/>
    <x v="1"/>
    <n v="250"/>
    <s v="Roch Cousineau"/>
    <n v="3"/>
    <n v="0.13279161787420113"/>
    <n v="650.40628659434913"/>
  </r>
  <r>
    <s v="PBOR00407"/>
    <x v="3"/>
    <x v="1"/>
    <s v="Medium Crispy Chole Pizzabun"/>
    <x v="0"/>
    <n v="130"/>
    <s v="Adrien Martin"/>
    <n v="4"/>
    <n v="0.20794478004129135"/>
    <n v="411.86871437852852"/>
  </r>
  <r>
    <s v="PBOR00408"/>
    <x v="4"/>
    <x v="28"/>
    <s v="Minty Pizzabun"/>
    <x v="1"/>
    <n v="60"/>
    <s v="Albain Forestier"/>
    <n v="12"/>
    <n v="0.76031378549826045"/>
    <n v="172.57407444125246"/>
  </r>
  <r>
    <s v="PBOR00409"/>
    <x v="5"/>
    <x v="8"/>
    <s v="Aloo Shots Pizzabun"/>
    <x v="0"/>
    <n v="95"/>
    <s v="Roch Cousineau"/>
    <n v="8"/>
    <n v="0.23804641255169789"/>
    <n v="579.08472646070959"/>
  </r>
  <r>
    <s v="PBOR00410"/>
    <x v="0"/>
    <x v="33"/>
    <s v="Paneer Tikka Pizzabun"/>
    <x v="1"/>
    <n v="72"/>
    <s v="Adrien Martin"/>
    <n v="5"/>
    <n v="0.12523689369936652"/>
    <n v="314.91471826822806"/>
  </r>
  <r>
    <s v="PBOR00411"/>
    <x v="1"/>
    <x v="14"/>
    <s v="Crispy Chole Pizzabun"/>
    <x v="0"/>
    <n v="65"/>
    <s v="Albain Forestier"/>
    <n v="4"/>
    <n v="6.7101746358327108E-2"/>
    <n v="242.55354594683496"/>
  </r>
  <r>
    <s v="PBOR00412"/>
    <x v="2"/>
    <x v="16"/>
    <s v="Large Paneer Tikka Pizzabun"/>
    <x v="1"/>
    <n v="250"/>
    <s v="Roch Cousineau"/>
    <n v="2"/>
    <n v="0.98970617123906524"/>
    <n v="5.1469143804673827"/>
  </r>
  <r>
    <s v="PBOR00413"/>
    <x v="3"/>
    <x v="17"/>
    <s v="Medium Crispy Chole Pizzabun"/>
    <x v="0"/>
    <n v="130"/>
    <s v="Adrien Martin"/>
    <n v="2"/>
    <n v="0.26202679185175082"/>
    <n v="191.87303411854478"/>
  </r>
  <r>
    <s v="PBOR00414"/>
    <x v="0"/>
    <x v="17"/>
    <s v="Paneer Tikka Pizzabun"/>
    <x v="1"/>
    <n v="72"/>
    <s v="Albain Forestier"/>
    <n v="10"/>
    <n v="0.87263143953916489"/>
    <n v="91.705363531801282"/>
  </r>
  <r>
    <s v="PBOR00415"/>
    <x v="1"/>
    <x v="5"/>
    <s v="Crispy Chole Pizzabun"/>
    <x v="1"/>
    <n v="65"/>
    <s v="Roch Cousineau"/>
    <n v="6"/>
    <n v="0.76778137062272289"/>
    <n v="90.565265457138068"/>
  </r>
  <r>
    <s v="PBOR00416"/>
    <x v="2"/>
    <x v="16"/>
    <s v="Large Paneer Tikka Pizzabun"/>
    <x v="1"/>
    <n v="250"/>
    <s v="Adrien Martin"/>
    <n v="1"/>
    <n v="0.15750010631121669"/>
    <n v="210.62497342219584"/>
  </r>
  <r>
    <s v="PBOR00417"/>
    <x v="3"/>
    <x v="1"/>
    <s v="Paneer Tikka Pizzabun"/>
    <x v="1"/>
    <n v="72"/>
    <s v="Albain Forestier"/>
    <n v="9"/>
    <n v="0.53570171465492589"/>
    <n v="300.86528890360802"/>
  </r>
  <r>
    <s v="PBOR00418"/>
    <x v="0"/>
    <x v="18"/>
    <s v="Crispy Chole Pizzabun"/>
    <x v="1"/>
    <n v="65"/>
    <s v="Roch Cousineau"/>
    <n v="7"/>
    <n v="0.88217490075954386"/>
    <n v="53.610420154407542"/>
  </r>
  <r>
    <s v="PBOR00419"/>
    <x v="1"/>
    <x v="3"/>
    <s v="Large Paneer Tikka Pizzabun"/>
    <x v="0"/>
    <n v="250"/>
    <s v="Roch Cousineau"/>
    <n v="3"/>
    <n v="7.4850081465574259E-2"/>
    <n v="693.86243890081926"/>
  </r>
  <r>
    <s v="PBOR00420"/>
    <x v="2"/>
    <x v="19"/>
    <s v="Medium Crispy Chole Pizzabun"/>
    <x v="1"/>
    <n v="130"/>
    <s v="Adrien Martin"/>
    <n v="4"/>
    <n v="0.4623515242530305"/>
    <n v="279.57720738842414"/>
  </r>
  <r>
    <s v="PBOR00421"/>
    <x v="3"/>
    <x v="20"/>
    <s v="Paneer Tikka Pizzabun"/>
    <x v="0"/>
    <n v="72"/>
    <s v="Albain Forestier"/>
    <n v="10"/>
    <n v="0.34462700763177134"/>
    <n v="471.86855450512462"/>
  </r>
  <r>
    <s v="PBOR00422"/>
    <x v="0"/>
    <x v="21"/>
    <s v="Crispy Chole Pizzabun"/>
    <x v="1"/>
    <n v="65"/>
    <s v="Roch Cousineau"/>
    <n v="7"/>
    <n v="0.69911624131260175"/>
    <n v="136.90211020276621"/>
  </r>
  <r>
    <s v="PBOR00423"/>
    <x v="1"/>
    <x v="22"/>
    <s v="Large Paneer Tikka Pizzabun"/>
    <x v="0"/>
    <n v="250"/>
    <s v="Adrien Martin"/>
    <n v="1"/>
    <n v="1.890946986705988E-2"/>
    <n v="245.27263253323503"/>
  </r>
  <r>
    <s v="PBOR00424"/>
    <x v="2"/>
    <x v="23"/>
    <s v="Medium Crispy Chole Pizzabun"/>
    <x v="1"/>
    <n v="130"/>
    <s v="Albain Forestier"/>
    <n v="5"/>
    <n v="0.73245470088007136"/>
    <n v="173.90444442795362"/>
  </r>
  <r>
    <s v="PBOR00425"/>
    <x v="3"/>
    <x v="24"/>
    <s v="Minty Pizzabun"/>
    <x v="0"/>
    <n v="60"/>
    <s v="Roch Cousineau"/>
    <n v="5"/>
    <n v="0.72297451744539321"/>
    <n v="83.107644766382037"/>
  </r>
  <r>
    <s v="PBOR00426"/>
    <x v="4"/>
    <x v="16"/>
    <s v="Paneer Tikka Pizzabun"/>
    <x v="1"/>
    <n v="72"/>
    <s v="Adrien Martin"/>
    <n v="9"/>
    <n v="0.97417776505363807"/>
    <n v="16.732808245242531"/>
  </r>
  <r>
    <s v="PBOR00427"/>
    <x v="0"/>
    <x v="25"/>
    <s v="Crispy Chole Pizzabun"/>
    <x v="0"/>
    <n v="65"/>
    <s v="Albain Forestier"/>
    <n v="7"/>
    <n v="0.92441295707634297"/>
    <n v="34.39210453026395"/>
  </r>
  <r>
    <s v="PBOR00428"/>
    <x v="1"/>
    <x v="6"/>
    <s v="Large Paneer Tikka Pizzabun"/>
    <x v="1"/>
    <n v="250"/>
    <s v="Roch Cousineau"/>
    <n v="3"/>
    <n v="0.34841204291363526"/>
    <n v="488.69096781477356"/>
  </r>
  <r>
    <s v="PBOR00429"/>
    <x v="2"/>
    <x v="2"/>
    <s v="Medium Crispy Chole Pizzabun"/>
    <x v="0"/>
    <n v="130"/>
    <s v="Adrien Martin"/>
    <n v="7"/>
    <n v="0.36862795502486845"/>
    <n v="574.54856092736975"/>
  </r>
  <r>
    <s v="PBOR00430"/>
    <x v="3"/>
    <x v="26"/>
    <s v="Paneer Tikka Pizzabun"/>
    <x v="1"/>
    <n v="72"/>
    <s v="Albain Forestier"/>
    <n v="12"/>
    <n v="0.38279600115505574"/>
    <n v="533.26425500203186"/>
  </r>
  <r>
    <s v="PBOR00431"/>
    <x v="0"/>
    <x v="4"/>
    <s v="Crispy Chole Pizzabun"/>
    <x v="0"/>
    <n v="65"/>
    <s v="Roch Cousineau"/>
    <n v="7"/>
    <n v="0.77278161923763322"/>
    <n v="103.38436324687689"/>
  </r>
  <r>
    <s v="PBOR00432"/>
    <x v="1"/>
    <x v="27"/>
    <s v="Large Paneer Tikka Pizzabun"/>
    <x v="1"/>
    <n v="250"/>
    <s v="Adrien Martin"/>
    <n v="3"/>
    <n v="0.98194581947705439"/>
    <n v="13.540635392209206"/>
  </r>
  <r>
    <s v="PBOR00433"/>
    <x v="2"/>
    <x v="15"/>
    <s v="Medium Crispy Chole Pizzabun"/>
    <x v="0"/>
    <n v="130"/>
    <s v="Albain Forestier"/>
    <n v="6"/>
    <n v="0.24372632968767749"/>
    <n v="589.89346284361159"/>
  </r>
  <r>
    <s v="PBOR00434"/>
    <x v="3"/>
    <x v="28"/>
    <s v="Minty Pizzabun"/>
    <x v="1"/>
    <n v="60"/>
    <s v="Roch Cousineau"/>
    <n v="14"/>
    <n v="0.50977491571581557"/>
    <n v="411.78907079871493"/>
  </r>
  <r>
    <s v="PBOR00435"/>
    <x v="4"/>
    <x v="8"/>
    <s v="Aloo Shots Pizzabun"/>
    <x v="0"/>
    <n v="95"/>
    <s v="Adrien Martin"/>
    <n v="7"/>
    <n v="0.99123744515485723"/>
    <n v="5.8270989720199404"/>
  </r>
  <r>
    <s v="PBOR00436"/>
    <x v="5"/>
    <x v="6"/>
    <s v="Paneer Tikka Pizzabun"/>
    <x v="1"/>
    <n v="72"/>
    <s v="Albain Forestier"/>
    <n v="5"/>
    <n v="0.58001027642401182"/>
    <n v="151.19630048735576"/>
  </r>
  <r>
    <s v="PBOR00437"/>
    <x v="0"/>
    <x v="27"/>
    <s v="Crispy Chole Pizzabun"/>
    <x v="1"/>
    <n v="65"/>
    <s v="Roch Cousineau"/>
    <n v="8"/>
    <n v="0.20099809520802481"/>
    <n v="415.48099049182713"/>
  </r>
  <r>
    <s v="PBOR00438"/>
    <x v="1"/>
    <x v="10"/>
    <s v="Large Paneer Tikka Pizzabun"/>
    <x v="1"/>
    <n v="250"/>
    <s v="Adrien Martin"/>
    <n v="3"/>
    <n v="8.7589082057090373E-2"/>
    <n v="684.30818845718227"/>
  </r>
  <r>
    <s v="PBOR00439"/>
    <x v="2"/>
    <x v="29"/>
    <s v="Medium Crispy Chole Pizzabun"/>
    <x v="1"/>
    <n v="130"/>
    <s v="Albain Forestier"/>
    <n v="4"/>
    <n v="0.92203517798439572"/>
    <n v="40.541707448114231"/>
  </r>
  <r>
    <s v="PBOR00440"/>
    <x v="3"/>
    <x v="30"/>
    <s v="Paneer Tikka Pizzabun"/>
    <x v="1"/>
    <n v="72"/>
    <s v="Roch Cousineau"/>
    <n v="10"/>
    <n v="0.40646951216415605"/>
    <n v="427.34195124180764"/>
  </r>
  <r>
    <s v="PBOR00441"/>
    <x v="0"/>
    <x v="31"/>
    <s v="Crispy Chole Pizzabun"/>
    <x v="0"/>
    <n v="65"/>
    <s v="Adrien Martin"/>
    <n v="4"/>
    <n v="0.45522048494031297"/>
    <n v="141.64267391551863"/>
  </r>
  <r>
    <s v="PBOR00442"/>
    <x v="1"/>
    <x v="27"/>
    <s v="Large Paneer Tikka Pizzabun"/>
    <x v="1"/>
    <n v="250"/>
    <s v="Albain Forestier"/>
    <n v="3"/>
    <n v="0.45514828780898176"/>
    <n v="408.63878414326371"/>
  </r>
  <r>
    <s v="PBOR00443"/>
    <x v="2"/>
    <x v="29"/>
    <s v="Medium Crispy Chole Pizzabun"/>
    <x v="0"/>
    <n v="130"/>
    <s v="Roch Cousineau"/>
    <n v="2"/>
    <n v="0.30126486834826394"/>
    <n v="181.67113422945138"/>
  </r>
  <r>
    <s v="PBOR00444"/>
    <x v="3"/>
    <x v="1"/>
    <s v="Minty Pizzabun"/>
    <x v="1"/>
    <n v="60"/>
    <s v="Adrien Martin"/>
    <n v="4"/>
    <n v="0.22886312078587356"/>
    <n v="185.07285101139036"/>
  </r>
  <r>
    <s v="PBOR00445"/>
    <x v="4"/>
    <x v="11"/>
    <s v="Paneer Tikka Pizzabun"/>
    <x v="0"/>
    <n v="72"/>
    <s v="Albain Forestier"/>
    <n v="4"/>
    <n v="0.4885587902090005"/>
    <n v="147.29506841980785"/>
  </r>
  <r>
    <s v="PBOR00446"/>
    <x v="0"/>
    <x v="5"/>
    <s v="Crispy Chole Pizzabun"/>
    <x v="1"/>
    <n v="65"/>
    <s v="Roch Cousineau"/>
    <n v="7"/>
    <n v="0.88301012782394861"/>
    <n v="53.23039184010338"/>
  </r>
  <r>
    <s v="PBOR00447"/>
    <x v="1"/>
    <x v="2"/>
    <s v="Large Paneer Tikka Pizzabun"/>
    <x v="0"/>
    <n v="250"/>
    <s v="Adrien Martin"/>
    <n v="2"/>
    <n v="0.30705024398286174"/>
    <n v="346.47487800856914"/>
  </r>
  <r>
    <s v="PBOR00448"/>
    <x v="2"/>
    <x v="31"/>
    <s v="Medium Crispy Chole Pizzabun"/>
    <x v="1"/>
    <n v="130"/>
    <s v="Albain Forestier"/>
    <n v="6"/>
    <n v="0.85704939563753491"/>
    <n v="111.50147140272277"/>
  </r>
  <r>
    <s v="PBOR00449"/>
    <x v="3"/>
    <x v="3"/>
    <s v="Paneer Tikka Pizzabun"/>
    <x v="0"/>
    <n v="72"/>
    <s v="Roch Cousineau"/>
    <n v="9"/>
    <n v="0.29159802445516347"/>
    <n v="459.04448015305405"/>
  </r>
  <r>
    <s v="PBOR00450"/>
    <x v="0"/>
    <x v="25"/>
    <s v="Crispy Chole Pizzabun"/>
    <x v="1"/>
    <n v="65"/>
    <s v="Adrien Martin"/>
    <n v="9"/>
    <n v="0.2589445683285162"/>
    <n v="433.51742752781803"/>
  </r>
  <r>
    <s v="PBOR00451"/>
    <x v="1"/>
    <x v="7"/>
    <s v="Large Paneer Tikka Pizzabun"/>
    <x v="0"/>
    <n v="250"/>
    <s v="Albain Forestier"/>
    <n v="2"/>
    <n v="0.2954209948681138"/>
    <n v="352.28950256594311"/>
  </r>
  <r>
    <s v="PBOR00452"/>
    <x v="2"/>
    <x v="25"/>
    <s v="Medium Crispy Chole Pizzabun"/>
    <x v="1"/>
    <n v="130"/>
    <s v="Roch Cousineau"/>
    <n v="2"/>
    <n v="7.4202009604403041E-2"/>
    <n v="240.7074775028552"/>
  </r>
  <r>
    <s v="PBOR00453"/>
    <x v="3"/>
    <x v="32"/>
    <s v="Minty Pizzabun"/>
    <x v="0"/>
    <n v="60"/>
    <s v="Adrien Martin"/>
    <n v="11"/>
    <n v="3.9067003401354383E-2"/>
    <n v="634.21577775510616"/>
  </r>
  <r>
    <s v="PBOR00454"/>
    <x v="4"/>
    <x v="33"/>
    <s v="Aloo Shots Pizzabun"/>
    <x v="1"/>
    <n v="95"/>
    <s v="Albain Forestier"/>
    <n v="4"/>
    <n v="0.76468504660372305"/>
    <n v="89.419682290585243"/>
  </r>
  <r>
    <s v="PBOR00455"/>
    <x v="5"/>
    <x v="33"/>
    <s v="Paneer Tikka Pizzabun"/>
    <x v="0"/>
    <n v="72"/>
    <s v="Roch Cousineau"/>
    <n v="11"/>
    <n v="0.74867480539232067"/>
    <n v="199.04955412928203"/>
  </r>
  <r>
    <s v="PBOR00456"/>
    <x v="0"/>
    <x v="22"/>
    <s v="Crispy Chole Pizzabun"/>
    <x v="1"/>
    <n v="65"/>
    <s v="Adrien Martin"/>
    <n v="6"/>
    <n v="0.69300939202757139"/>
    <n v="119.72633710924715"/>
  </r>
  <r>
    <s v="PBOR00457"/>
    <x v="1"/>
    <x v="34"/>
    <s v="Large Paneer Tikka Pizzabun"/>
    <x v="0"/>
    <n v="250"/>
    <s v="Albain Forestier"/>
    <n v="1"/>
    <n v="0.52937391222103747"/>
    <n v="117.65652194474063"/>
  </r>
  <r>
    <s v="PBOR00458"/>
    <x v="2"/>
    <x v="7"/>
    <s v="Medium Crispy Chole Pizzabun"/>
    <x v="1"/>
    <n v="130"/>
    <s v="Roch Cousineau"/>
    <n v="3"/>
    <n v="0.32413514859934134"/>
    <n v="263.58729204625689"/>
  </r>
  <r>
    <s v="PBOR00459"/>
    <x v="3"/>
    <x v="3"/>
    <s v="Paneer Tikka Pizzabun"/>
    <x v="1"/>
    <n v="72"/>
    <s v="Adrien Martin"/>
    <n v="4"/>
    <n v="0.35907775149399723"/>
    <n v="184.58560756972881"/>
  </r>
  <r>
    <s v="PBOR00460"/>
    <x v="0"/>
    <x v="31"/>
    <s v="Crispy Chole Pizzabun"/>
    <x v="1"/>
    <n v="65"/>
    <s v="Albain Forestier"/>
    <n v="6"/>
    <n v="0.65908590258865696"/>
    <n v="132.9564979904238"/>
  </r>
  <r>
    <s v="PBOR00461"/>
    <x v="1"/>
    <x v="4"/>
    <s v="Large Paneer Tikka Pizzabun"/>
    <x v="1"/>
    <n v="250"/>
    <s v="Roch Cousineau"/>
    <n v="2"/>
    <n v="0.51385178684784039"/>
    <n v="243.0741065760798"/>
  </r>
  <r>
    <s v="PBOR00462"/>
    <x v="2"/>
    <x v="34"/>
    <s v="Medium Crispy Chole Pizzabun"/>
    <x v="1"/>
    <n v="130"/>
    <s v="Adrien Martin"/>
    <n v="4"/>
    <n v="0.76665009072072687"/>
    <n v="121.34195282522202"/>
  </r>
  <r>
    <s v="PBOR00463"/>
    <x v="3"/>
    <x v="13"/>
    <s v="Paneer Tikka Pizzabun"/>
    <x v="0"/>
    <n v="72"/>
    <s v="Albain Forestier"/>
    <n v="5"/>
    <n v="0.73529214203054083"/>
    <n v="95.2948288690053"/>
  </r>
  <r>
    <s v="PBOR00464"/>
    <x v="0"/>
    <x v="35"/>
    <s v="Crispy Chole Pizzabun"/>
    <x v="1"/>
    <n v="65"/>
    <s v="Roch Cousineau"/>
    <n v="9"/>
    <n v="0.44567996518569519"/>
    <n v="324.27722036636834"/>
  </r>
  <r>
    <s v="PBOR00465"/>
    <x v="1"/>
    <x v="2"/>
    <s v="Large Paneer Tikka Pizzabun"/>
    <x v="0"/>
    <n v="250"/>
    <s v="Roch Cousineau"/>
    <n v="2"/>
    <n v="0.80491760131950119"/>
    <n v="97.541199340249406"/>
  </r>
  <r>
    <s v="PBOR00466"/>
    <x v="2"/>
    <x v="13"/>
    <s v="Medium Crispy Chole Pizzabun"/>
    <x v="1"/>
    <n v="130"/>
    <s v="Adrien Martin"/>
    <n v="4"/>
    <n v="0.63252724233750568"/>
    <n v="191.08583398449704"/>
  </r>
  <r>
    <s v="PBOR00467"/>
    <x v="3"/>
    <x v="18"/>
    <s v="Paneer Tikka Pizzabun"/>
    <x v="0"/>
    <n v="72"/>
    <s v="Albain Forestier"/>
    <n v="12"/>
    <n v="0.54172415841062738"/>
    <n v="395.95032713321797"/>
  </r>
  <r>
    <s v="PBOR00468"/>
    <x v="0"/>
    <x v="23"/>
    <s v="Crispy Chole Pizzabun"/>
    <x v="1"/>
    <n v="65"/>
    <s v="Roch Cousineau"/>
    <n v="11"/>
    <n v="0.51449622999670686"/>
    <n v="347.13519555235462"/>
  </r>
  <r>
    <s v="PBOR00469"/>
    <x v="1"/>
    <x v="36"/>
    <s v="Large Paneer Tikka Pizzabun"/>
    <x v="0"/>
    <n v="250"/>
    <s v="Adrien Martin"/>
    <n v="2"/>
    <n v="0.23752502847518697"/>
    <n v="381.23748576240649"/>
  </r>
  <r>
    <s v="PBOR00470"/>
    <x v="2"/>
    <x v="37"/>
    <s v="Medium Crispy Chole Pizzabun"/>
    <x v="1"/>
    <n v="130"/>
    <s v="Albain Forestier"/>
    <n v="4"/>
    <n v="0.99120610081358274"/>
    <n v="4.5728275769369775"/>
  </r>
  <r>
    <s v="PBOR00471"/>
    <x v="3"/>
    <x v="4"/>
    <s v="Minty Pizzabun"/>
    <x v="0"/>
    <n v="60"/>
    <s v="Roch Cousineau"/>
    <n v="9"/>
    <n v="0.59705890981846566"/>
    <n v="217.58818869802855"/>
  </r>
  <r>
    <s v="PBOR00472"/>
    <x v="4"/>
    <x v="3"/>
    <s v="Paneer Tikka Pizzabun"/>
    <x v="1"/>
    <n v="72"/>
    <s v="Adrien Martin"/>
    <n v="3"/>
    <n v="0.47137791834027587"/>
    <n v="114.18236963850042"/>
  </r>
  <r>
    <s v="PBOR00473"/>
    <x v="0"/>
    <x v="35"/>
    <s v="Crispy Chole Pizzabun"/>
    <x v="0"/>
    <n v="65"/>
    <s v="Albain Forestier"/>
    <n v="14"/>
    <n v="0.41181740780767351"/>
    <n v="535.24615889501706"/>
  </r>
  <r>
    <s v="PBOR00474"/>
    <x v="1"/>
    <x v="11"/>
    <s v="Large Paneer Tikka Pizzabun"/>
    <x v="1"/>
    <n v="250"/>
    <s v="Roch Cousineau"/>
    <n v="3"/>
    <n v="7.2014892327985192E-2"/>
    <n v="695.98883075401113"/>
  </r>
  <r>
    <s v="PBOR00475"/>
    <x v="2"/>
    <x v="10"/>
    <s v="Medium Crispy Chole Pizzabun"/>
    <x v="0"/>
    <n v="130"/>
    <s v="Adrien Martin"/>
    <n v="7"/>
    <n v="0.28425228592980878"/>
    <n v="651.33041980387407"/>
  </r>
  <r>
    <s v="PBOR00476"/>
    <x v="3"/>
    <x v="1"/>
    <s v="Paneer Tikka Pizzabun"/>
    <x v="1"/>
    <n v="72"/>
    <s v="Albain Forestier"/>
    <n v="3"/>
    <n v="0.51473636278960266"/>
    <n v="104.81694563744583"/>
  </r>
  <r>
    <s v="PBOR00477"/>
    <x v="0"/>
    <x v="17"/>
    <s v="Crispy Chole Pizzabun"/>
    <x v="0"/>
    <n v="65"/>
    <s v="Roch Cousineau"/>
    <n v="7"/>
    <n v="0.84360853679959769"/>
    <n v="71.158115756183051"/>
  </r>
  <r>
    <s v="PBOR00478"/>
    <x v="1"/>
    <x v="17"/>
    <s v="Large Paneer Tikka Pizzabun"/>
    <x v="1"/>
    <n v="250"/>
    <s v="Adrien Martin"/>
    <n v="3"/>
    <n v="0.79410595242208182"/>
    <n v="154.42053568343863"/>
  </r>
  <r>
    <s v="PBOR00479"/>
    <x v="2"/>
    <x v="37"/>
    <s v="Medium Crispy Chole Pizzabun"/>
    <x v="0"/>
    <n v="130"/>
    <s v="Albain Forestier"/>
    <n v="4"/>
    <n v="0.43743103077150813"/>
    <n v="292.53586399881578"/>
  </r>
  <r>
    <s v="PBOR00480"/>
    <x v="3"/>
    <x v="4"/>
    <s v="Minty Pizzabun"/>
    <x v="1"/>
    <n v="60"/>
    <s v="Roch Cousineau"/>
    <n v="7"/>
    <n v="0.62414285851347806"/>
    <n v="157.85999942433921"/>
  </r>
  <r>
    <s v="PBOR00481"/>
    <x v="4"/>
    <x v="2"/>
    <s v="Aloo Shots Pizzabun"/>
    <x v="1"/>
    <n v="95"/>
    <s v="Adrien Martin"/>
    <n v="4"/>
    <n v="0.8866455913476804"/>
    <n v="43.074675287881448"/>
  </r>
  <r>
    <s v="PBOR00482"/>
    <x v="5"/>
    <x v="12"/>
    <s v="Paneer Tikka Pizzabun"/>
    <x v="1"/>
    <n v="72"/>
    <s v="Albain Forestier"/>
    <n v="6"/>
    <n v="0.18359273290431566"/>
    <n v="352.68793938533565"/>
  </r>
  <r>
    <s v="PBOR00483"/>
    <x v="0"/>
    <x v="0"/>
    <s v="Crispy Chole Pizzabun"/>
    <x v="1"/>
    <n v="65"/>
    <s v="Roch Cousineau"/>
    <n v="5"/>
    <n v="0.15906506531321729"/>
    <n v="273.30385377320437"/>
  </r>
  <r>
    <s v="PBOR00484"/>
    <x v="1"/>
    <x v="38"/>
    <s v="Large Paneer Tikka Pizzabun"/>
    <x v="1"/>
    <n v="250"/>
    <s v="Adrien Martin"/>
    <n v="2"/>
    <n v="0.29466747014106187"/>
    <n v="352.66626492946904"/>
  </r>
  <r>
    <s v="PBOR00485"/>
    <x v="2"/>
    <x v="1"/>
    <s v="Medium Crispy Chole Pizzabun"/>
    <x v="0"/>
    <n v="130"/>
    <s v="Albain Forestier"/>
    <n v="2"/>
    <n v="0.35414118605930123"/>
    <n v="167.92329162458168"/>
  </r>
  <r>
    <s v="PBOR00486"/>
    <x v="3"/>
    <x v="2"/>
    <s v="Paneer Tikka Pizzabun"/>
    <x v="1"/>
    <n v="72"/>
    <s v="Roch Cousineau"/>
    <n v="4"/>
    <n v="0.40463831594750665"/>
    <n v="171.46416500711808"/>
  </r>
  <r>
    <s v="PBOR00487"/>
    <x v="0"/>
    <x v="5"/>
    <s v="Crispy Chole Pizzabun"/>
    <x v="0"/>
    <n v="65"/>
    <s v="Adrien Martin"/>
    <n v="10"/>
    <n v="0.56828189926736972"/>
    <n v="280.61676547620971"/>
  </r>
  <r>
    <s v="PBOR00488"/>
    <x v="1"/>
    <x v="3"/>
    <s v="Large Paneer Tikka Pizzabun"/>
    <x v="1"/>
    <n v="250"/>
    <s v="Albain Forestier"/>
    <n v="1"/>
    <n v="0.68415839920111321"/>
    <n v="78.960400199721704"/>
  </r>
  <r>
    <s v="PBOR00489"/>
    <x v="2"/>
    <x v="36"/>
    <s v="Medium Crispy Chole Pizzabun"/>
    <x v="0"/>
    <n v="130"/>
    <s v="Roch Cousineau"/>
    <n v="6"/>
    <n v="0.47900916747418532"/>
    <n v="406.37284937013544"/>
  </r>
  <r>
    <s v="PBOR00490"/>
    <x v="3"/>
    <x v="24"/>
    <s v="Minty Pizzabun"/>
    <x v="1"/>
    <n v="60"/>
    <s v="Adrien Martin"/>
    <n v="4"/>
    <n v="0.89045722746488731"/>
    <n v="26.290265408427047"/>
  </r>
  <r>
    <s v="PBOR00491"/>
    <x v="4"/>
    <x v="21"/>
    <s v="Paneer Tikka Pizzabun"/>
    <x v="0"/>
    <n v="72"/>
    <s v="Albain Forestier"/>
    <n v="7"/>
    <n v="0.50949971880500122"/>
    <n v="247.2121417222794"/>
  </r>
  <r>
    <s v="PBOR00492"/>
    <x v="0"/>
    <x v="32"/>
    <s v="Crispy Chole Pizzabun"/>
    <x v="1"/>
    <n v="65"/>
    <s v="Roch Cousineau"/>
    <n v="12"/>
    <n v="0.78361211804502018"/>
    <n v="168.78254792488426"/>
  </r>
  <r>
    <s v="PBOR00493"/>
    <x v="1"/>
    <x v="4"/>
    <s v="Large Paneer Tikka Pizzabun"/>
    <x v="0"/>
    <n v="250"/>
    <s v="Adrien Martin"/>
    <n v="1"/>
    <n v="6.596920154790531E-2"/>
    <n v="233.50769961302368"/>
  </r>
  <r>
    <s v="PBOR00494"/>
    <x v="2"/>
    <x v="2"/>
    <s v="Medium Crispy Chole Pizzabun"/>
    <x v="1"/>
    <n v="130"/>
    <s v="Albain Forestier"/>
    <n v="6"/>
    <n v="0.17858014910494857"/>
    <n v="640.70748369814009"/>
  </r>
  <r>
    <s v="PBOR00495"/>
    <x v="3"/>
    <x v="27"/>
    <s v="Paneer Tikka Pizzabun"/>
    <x v="0"/>
    <n v="72"/>
    <s v="Roch Cousineau"/>
    <n v="4"/>
    <n v="0.43587855952805254"/>
    <n v="162.46697485592085"/>
  </r>
  <r>
    <s v="PBOR00496"/>
    <x v="0"/>
    <x v="0"/>
    <s v="Crispy Chole Pizzabun"/>
    <x v="1"/>
    <n v="65"/>
    <s v="Adrien Martin"/>
    <n v="10"/>
    <n v="0.74040338644493453"/>
    <n v="168.73779881079255"/>
  </r>
  <r>
    <s v="PBOR00497"/>
    <x v="1"/>
    <x v="1"/>
    <s v="Large Paneer Tikka Pizzabun"/>
    <x v="0"/>
    <n v="250"/>
    <s v="Albain Forestier"/>
    <n v="4"/>
    <n v="0.54109571345744756"/>
    <n v="458.90428654255243"/>
  </r>
  <r>
    <s v="PBOR00498"/>
    <x v="2"/>
    <x v="28"/>
    <s v="Medium Crispy Chole Pizzabun"/>
    <x v="1"/>
    <n v="130"/>
    <s v="Roch Cousineau"/>
    <n v="3"/>
    <n v="0.71271172701355112"/>
    <n v="112.04242646471506"/>
  </r>
  <r>
    <s v="PBOR00499"/>
    <x v="3"/>
    <x v="8"/>
    <s v="Minty Pizzabun"/>
    <x v="0"/>
    <n v="60"/>
    <s v="Adrien Martin"/>
    <n v="13"/>
    <n v="0.66248409996473057"/>
    <n v="263.26240202751018"/>
  </r>
  <r>
    <s v="PBOR00500"/>
    <x v="4"/>
    <x v="33"/>
    <s v="Aloo Shots Pizzabun"/>
    <x v="1"/>
    <n v="95"/>
    <s v="Albain Forestier"/>
    <n v="4"/>
    <n v="0.51300641040982664"/>
    <n v="185.05756404426589"/>
  </r>
  <r>
    <s v="PBOR00501"/>
    <x v="5"/>
    <x v="14"/>
    <s v="Paneer Tikka Pizzabun"/>
    <x v="0"/>
    <n v="72"/>
    <s v="Roch Cousineau"/>
    <n v="3"/>
    <n v="0.84951124937796896"/>
    <n v="32.505570134358706"/>
  </r>
  <r>
    <s v="PBOR00502"/>
    <x v="0"/>
    <x v="16"/>
    <s v="Crispy Chole Pizzabun"/>
    <x v="1"/>
    <n v="65"/>
    <s v="Adrien Martin"/>
    <n v="12"/>
    <n v="0.57786595909251792"/>
    <n v="329.26455190783599"/>
  </r>
  <r>
    <s v="PBOR00503"/>
    <x v="1"/>
    <x v="17"/>
    <s v="Large Paneer Tikka Pizzabun"/>
    <x v="1"/>
    <n v="250"/>
    <s v="Albain Forestier"/>
    <n v="4"/>
    <n v="1.9027976654024337E-2"/>
    <n v="980.97202334597569"/>
  </r>
  <r>
    <s v="PBOR00504"/>
    <x v="0"/>
    <x v="39"/>
    <s v="Paneer Tikka Pizzabun"/>
    <x v="0"/>
    <n v="72"/>
    <s v="Roch Cousineau"/>
    <n v="9"/>
    <n v="0.16955060231663666"/>
    <n v="538.13120969881948"/>
  </r>
  <r>
    <s v="PBOR00505"/>
    <x v="1"/>
    <x v="40"/>
    <s v="Crispy Chole Pizzabun"/>
    <x v="1"/>
    <n v="65"/>
    <s v="Adrien Martin"/>
    <n v="11"/>
    <n v="0.38206996751514932"/>
    <n v="441.81997322666825"/>
  </r>
  <r>
    <s v="PBOR00506"/>
    <x v="2"/>
    <x v="41"/>
    <s v="Large Paneer Tikka Pizzabun"/>
    <x v="0"/>
    <n v="250"/>
    <s v="Albain Forestier"/>
    <n v="2"/>
    <n v="0.8674981523393791"/>
    <n v="66.250923830310455"/>
  </r>
  <r>
    <s v="PBOR00507"/>
    <x v="3"/>
    <x v="42"/>
    <s v="Medium Crispy Chole Pizzabun"/>
    <x v="1"/>
    <n v="130"/>
    <s v="Roch Cousineau"/>
    <n v="5"/>
    <n v="2.9154180512952599E-2"/>
    <n v="631.04978266658077"/>
  </r>
  <r>
    <s v="PBOR00508"/>
    <x v="0"/>
    <x v="43"/>
    <s v="Paneer Tikka Pizzabun"/>
    <x v="0"/>
    <n v="72"/>
    <s v="Adrien Martin"/>
    <n v="8"/>
    <n v="0.99168091347256393"/>
    <n v="4.7917938398031765"/>
  </r>
  <r>
    <s v="PBOR00509"/>
    <x v="1"/>
    <x v="44"/>
    <s v="Crispy Chole Pizzabun"/>
    <x v="1"/>
    <n v="65"/>
    <s v="Albain Forestier"/>
    <n v="5"/>
    <n v="0.94729275174800143"/>
    <n v="17.129855681899535"/>
  </r>
  <r>
    <s v="PBOR00510"/>
    <x v="2"/>
    <x v="45"/>
    <s v="Large Paneer Tikka Pizzabun"/>
    <x v="0"/>
    <n v="250"/>
    <s v="Roch Cousineau"/>
    <n v="2"/>
    <n v="0.37455064830033202"/>
    <n v="312.724675849834"/>
  </r>
  <r>
    <s v="PBOR00511"/>
    <x v="3"/>
    <x v="46"/>
    <s v="Medium Crispy Chole Pizzabun"/>
    <x v="1"/>
    <n v="130"/>
    <s v="Adrien Martin"/>
    <n v="4"/>
    <n v="0.93263356281960696"/>
    <n v="35.030547333804378"/>
  </r>
  <r>
    <s v="PBOR00512"/>
    <x v="4"/>
    <x v="47"/>
    <s v="Minty Pizzabun"/>
    <x v="0"/>
    <n v="60"/>
    <s v="Albain Forestier"/>
    <n v="12"/>
    <n v="0.89778067721486177"/>
    <n v="73.597912405299525"/>
  </r>
  <r>
    <s v="PBOR00513"/>
    <x v="0"/>
    <x v="48"/>
    <s v="Paneer Tikka Pizzabun"/>
    <x v="1"/>
    <n v="72"/>
    <s v="Roch Cousineau"/>
    <n v="12"/>
    <n v="0.55977412733328269"/>
    <n v="380.35515398404374"/>
  </r>
  <r>
    <s v="PBOR00514"/>
    <x v="1"/>
    <x v="32"/>
    <s v="Crispy Chole Pizzabun"/>
    <x v="0"/>
    <n v="65"/>
    <s v="Adrien Martin"/>
    <n v="9"/>
    <n v="0.35518011664345372"/>
    <n v="377.21963176357957"/>
  </r>
  <r>
    <s v="PBOR00515"/>
    <x v="2"/>
    <x v="49"/>
    <s v="Large Paneer Tikka Pizzabun"/>
    <x v="1"/>
    <n v="250"/>
    <s v="Albain Forestier"/>
    <n v="3"/>
    <n v="0.91108463746502322"/>
    <n v="66.686521901232581"/>
  </r>
  <r>
    <s v="PBOR00516"/>
    <x v="3"/>
    <x v="19"/>
    <s v="Medium Crispy Chole Pizzabun"/>
    <x v="0"/>
    <n v="130"/>
    <s v="Roch Cousineau"/>
    <n v="6"/>
    <n v="0.72675593921248616"/>
    <n v="213.1303674142608"/>
  </r>
  <r>
    <s v="PBOR00517"/>
    <x v="0"/>
    <x v="50"/>
    <s v="Paneer Tikka Pizzabun"/>
    <x v="1"/>
    <n v="72"/>
    <s v="Adrien Martin"/>
    <n v="8"/>
    <n v="0.47112047947658875"/>
    <n v="304.63460382148486"/>
  </r>
  <r>
    <s v="PBOR00518"/>
    <x v="1"/>
    <x v="51"/>
    <s v="Crispy Chole Pizzabun"/>
    <x v="0"/>
    <n v="65"/>
    <s v="Albain Forestier"/>
    <n v="4"/>
    <n v="0.40156686151361176"/>
    <n v="155.59261600646093"/>
  </r>
  <r>
    <s v="PBOR00519"/>
    <x v="2"/>
    <x v="29"/>
    <s v="Large Paneer Tikka Pizzabun"/>
    <x v="1"/>
    <n v="250"/>
    <s v="Roch Cousineau"/>
    <n v="2"/>
    <n v="0.52465554175014861"/>
    <n v="237.67222912492571"/>
  </r>
  <r>
    <s v="PBOR00520"/>
    <x v="3"/>
    <x v="52"/>
    <s v="Medium Crispy Chole Pizzabun"/>
    <x v="0"/>
    <n v="130"/>
    <s v="Adrien Martin"/>
    <n v="6"/>
    <n v="0.81501652218865928"/>
    <n v="144.28711269284577"/>
  </r>
  <r>
    <s v="PBOR00521"/>
    <x v="4"/>
    <x v="26"/>
    <s v="Minty Pizzabun"/>
    <x v="0"/>
    <n v="60"/>
    <s v="Albain Forestier"/>
    <n v="15"/>
    <n v="0.8378814838836468"/>
    <n v="145.90666450471787"/>
  </r>
  <r>
    <s v="PBOR00522"/>
    <x v="5"/>
    <x v="47"/>
    <s v="Aloo Shots Pizzabun"/>
    <x v="1"/>
    <n v="95"/>
    <s v="Roch Cousineau"/>
    <n v="8"/>
    <n v="0.82835935101681224"/>
    <n v="130.44689322722269"/>
  </r>
  <r>
    <s v="PBOR00523"/>
    <x v="0"/>
    <x v="46"/>
    <s v="Paneer Tikka Pizzabun"/>
    <x v="1"/>
    <n v="72"/>
    <s v="Adrien Martin"/>
    <n v="4"/>
    <n v="0.37698134512169423"/>
    <n v="179.42937260495205"/>
  </r>
  <r>
    <s v="PBOR00524"/>
    <x v="1"/>
    <x v="41"/>
    <s v="Crispy Chole Pizzabun"/>
    <x v="1"/>
    <n v="65"/>
    <s v="Albain Forestier"/>
    <n v="3"/>
    <n v="0.45612674766077843"/>
    <n v="106.0552842061482"/>
  </r>
  <r>
    <s v="PBOR00525"/>
    <x v="2"/>
    <x v="53"/>
    <s v="Large Paneer Tikka Pizzabun"/>
    <x v="0"/>
    <n v="250"/>
    <s v="Roch Cousineau"/>
    <n v="1"/>
    <n v="0.58495869293766478"/>
    <n v="103.7603267655838"/>
  </r>
  <r>
    <s v="PBOR00526"/>
    <x v="3"/>
    <x v="54"/>
    <s v="Medium Crispy Chole Pizzabun"/>
    <x v="0"/>
    <n v="130"/>
    <s v="Adrien Martin"/>
    <n v="3"/>
    <n v="0.21482564652747993"/>
    <n v="306.21799785428283"/>
  </r>
  <r>
    <s v="PBOR00527"/>
    <x v="0"/>
    <x v="32"/>
    <s v="Paneer Tikka Pizzabun"/>
    <x v="0"/>
    <n v="72"/>
    <s v="Albain Forestier"/>
    <n v="6"/>
    <n v="0.15269729660236731"/>
    <n v="366.0347678677773"/>
  </r>
  <r>
    <s v="PBOR00528"/>
    <x v="1"/>
    <x v="30"/>
    <s v="Crispy Chole Pizzabun"/>
    <x v="0"/>
    <n v="65"/>
    <s v="Roch Cousineau"/>
    <n v="12"/>
    <n v="8.8352380030495281E-3"/>
    <n v="773.1085143576214"/>
  </r>
  <r>
    <s v="PBOR00529"/>
    <x v="2"/>
    <x v="55"/>
    <s v="Large Paneer Tikka Pizzabun"/>
    <x v="0"/>
    <n v="250"/>
    <s v="Adrien Martin"/>
    <n v="3"/>
    <n v="0.41351397058750894"/>
    <n v="439.86452205936831"/>
  </r>
  <r>
    <s v="PBOR00530"/>
    <x v="3"/>
    <x v="19"/>
    <s v="Medium Crispy Chole Pizzabun"/>
    <x v="0"/>
    <n v="130"/>
    <s v="Albain Forestier"/>
    <n v="5"/>
    <n v="0.59639743663474853"/>
    <n v="262.34166618741347"/>
  </r>
  <r>
    <s v="PBOR00531"/>
    <x v="4"/>
    <x v="39"/>
    <s v="Minty Pizzabun"/>
    <x v="0"/>
    <n v="60"/>
    <s v="Roch Cousineau"/>
    <n v="7"/>
    <n v="0.46988332890211748"/>
    <n v="222.64900186111066"/>
  </r>
  <r>
    <s v="PBOR00532"/>
    <x v="0"/>
    <x v="33"/>
    <s v="Paneer Tikka Pizzabun"/>
    <x v="0"/>
    <n v="72"/>
    <s v="Adrien Martin"/>
    <n v="7"/>
    <n v="0.57986869832867938"/>
    <n v="211.74617604234558"/>
  </r>
  <r>
    <s v="PBOR00533"/>
    <x v="1"/>
    <x v="40"/>
    <s v="Crispy Chole Pizzabun"/>
    <x v="0"/>
    <n v="65"/>
    <s v="Albain Forestier"/>
    <n v="12"/>
    <n v="0.60152840695859333"/>
    <n v="310.8078425722972"/>
  </r>
  <r>
    <s v="PBOR00534"/>
    <x v="2"/>
    <x v="56"/>
    <s v="Large Paneer Tikka Pizzabun"/>
    <x v="1"/>
    <n v="250"/>
    <s v="Roch Cousineau"/>
    <n v="1"/>
    <n v="0.1824147650500757"/>
    <n v="204.39630873748106"/>
  </r>
  <r>
    <s v="PBOR00535"/>
    <x v="3"/>
    <x v="57"/>
    <s v="Medium Crispy Chole Pizzabun"/>
    <x v="0"/>
    <n v="130"/>
    <s v="Adrien Martin"/>
    <n v="2"/>
    <n v="0.7212893429132442"/>
    <n v="72.464770842556504"/>
  </r>
  <r>
    <s v="PBOR00536"/>
    <x v="0"/>
    <x v="58"/>
    <s v="Paneer Tikka Pizzabun"/>
    <x v="0"/>
    <n v="72"/>
    <s v="Albain Forestier"/>
    <n v="7"/>
    <n v="0.71414026881178727"/>
    <n v="144.0733045188592"/>
  </r>
  <r>
    <s v="PBOR00537"/>
    <x v="1"/>
    <x v="59"/>
    <s v="Crispy Chole Pizzabun"/>
    <x v="0"/>
    <n v="65"/>
    <s v="Roch Cousineau"/>
    <n v="3"/>
    <n v="0.54444137039557594"/>
    <n v="88.833932772862696"/>
  </r>
  <r>
    <s v="PBOR00538"/>
    <x v="2"/>
    <x v="58"/>
    <s v="Large Paneer Tikka Pizzabun"/>
    <x v="0"/>
    <n v="250"/>
    <s v="Adrien Martin"/>
    <n v="2"/>
    <n v="0.77781991401979389"/>
    <n v="111.09004299010306"/>
  </r>
  <r>
    <s v="PBOR00539"/>
    <x v="3"/>
    <x v="30"/>
    <s v="Medium Crispy Chole Pizzabun"/>
    <x v="0"/>
    <n v="130"/>
    <s v="Albain Forestier"/>
    <n v="3"/>
    <n v="0.5275013384118411"/>
    <n v="184.27447801938197"/>
  </r>
  <r>
    <s v="PBOR00540"/>
    <x v="4"/>
    <x v="40"/>
    <s v="Minty Pizzabun"/>
    <x v="1"/>
    <n v="60"/>
    <s v="Roch Cousineau"/>
    <n v="12"/>
    <n v="7.396539930342394E-3"/>
    <n v="714.67449125015344"/>
  </r>
  <r>
    <s v="PBOR00541"/>
    <x v="5"/>
    <x v="57"/>
    <s v="Aloo Shots Pizzabun"/>
    <x v="0"/>
    <n v="95"/>
    <s v="Adrien Martin"/>
    <n v="3"/>
    <n v="0.94639981268134632"/>
    <n v="15.276053385816299"/>
  </r>
  <r>
    <s v="PBOR00542"/>
    <x v="0"/>
    <x v="58"/>
    <s v="Paneer Tikka Pizzabun"/>
    <x v="0"/>
    <n v="72"/>
    <s v="Albain Forestier"/>
    <n v="6"/>
    <n v="6.997320328522838E-2"/>
    <n v="401.77157618078132"/>
  </r>
  <r>
    <s v="PBOR00543"/>
    <x v="1"/>
    <x v="60"/>
    <s v="Crispy Chole Pizzabun"/>
    <x v="0"/>
    <n v="65"/>
    <s v="Roch Cousineau"/>
    <n v="5"/>
    <n v="0.84957920097681217"/>
    <n v="48.886759682536045"/>
  </r>
  <r>
    <s v="PBOR00544"/>
    <x v="2"/>
    <x v="61"/>
    <s v="Large Paneer Tikka Pizzabun"/>
    <x v="1"/>
    <n v="250"/>
    <s v="Adrien Martin"/>
    <n v="3"/>
    <n v="0.22854161302916687"/>
    <n v="578.59379022812482"/>
  </r>
  <r>
    <s v="PBOR00545"/>
    <x v="3"/>
    <x v="56"/>
    <s v="Medium Crispy Chole Pizzabun"/>
    <x v="1"/>
    <n v="130"/>
    <s v="Albain Forestier"/>
    <n v="5"/>
    <n v="0.79907509224727069"/>
    <n v="130.60119003927406"/>
  </r>
  <r>
    <s v="PBOR00546"/>
    <x v="0"/>
    <x v="30"/>
    <s v="Paneer Tikka Pizzabun"/>
    <x v="1"/>
    <n v="72"/>
    <s v="Roch Cousineau"/>
    <n v="6"/>
    <n v="0.74256087679357008"/>
    <n v="111.21370122517773"/>
  </r>
  <r>
    <s v="PBOR00547"/>
    <x v="1"/>
    <x v="43"/>
    <s v="Crispy Chole Pizzabun"/>
    <x v="1"/>
    <n v="65"/>
    <s v="Adrien Martin"/>
    <n v="11"/>
    <n v="0.44596854048416179"/>
    <n v="396.1324935538243"/>
  </r>
  <r>
    <s v="PBOR00548"/>
    <x v="2"/>
    <x v="62"/>
    <s v="Large Paneer Tikka Pizzabun"/>
    <x v="1"/>
    <n v="250"/>
    <s v="Albain Forestier"/>
    <n v="1"/>
    <n v="0.39305432968274145"/>
    <n v="151.73641757931463"/>
  </r>
  <r>
    <s v="PBOR00549"/>
    <x v="3"/>
    <x v="51"/>
    <s v="Medium Crispy Chole Pizzabun"/>
    <x v="1"/>
    <n v="130"/>
    <s v="Roch Cousineau"/>
    <n v="3"/>
    <n v="0.94419334319477766"/>
    <n v="21.764596154036713"/>
  </r>
  <r>
    <s v="PBOR00550"/>
    <x v="0"/>
    <x v="63"/>
    <s v="Paneer Tikka Pizzabun"/>
    <x v="0"/>
    <n v="72"/>
    <s v="Roch Cousineau"/>
    <n v="10"/>
    <n v="7.4429869816432404E-2"/>
    <n v="666.41049373216867"/>
  </r>
  <r>
    <s v="PBOR00551"/>
    <x v="1"/>
    <x v="64"/>
    <s v="Crispy Chole Pizzabun"/>
    <x v="1"/>
    <n v="65"/>
    <s v="Adrien Martin"/>
    <n v="6"/>
    <n v="0.51702186023524088"/>
    <n v="188.36147450825607"/>
  </r>
  <r>
    <s v="PBOR00552"/>
    <x v="2"/>
    <x v="63"/>
    <s v="Large Paneer Tikka Pizzabun"/>
    <x v="0"/>
    <n v="250"/>
    <s v="Albain Forestier"/>
    <n v="2"/>
    <n v="0.75920976934148809"/>
    <n v="120.39511532925596"/>
  </r>
  <r>
    <s v="PBOR00553"/>
    <x v="3"/>
    <x v="61"/>
    <s v="Medium Crispy Chole Pizzabun"/>
    <x v="1"/>
    <n v="130"/>
    <s v="Roch Cousineau"/>
    <n v="5"/>
    <n v="0.60368464660289733"/>
    <n v="257.60497970811673"/>
  </r>
  <r>
    <s v="PBOR00554"/>
    <x v="0"/>
    <x v="62"/>
    <s v="Paneer Tikka Pizzabun"/>
    <x v="0"/>
    <n v="72"/>
    <s v="Adrien Martin"/>
    <n v="9"/>
    <n v="0.7507549842921446"/>
    <n v="161.51077017869031"/>
  </r>
  <r>
    <s v="PBOR00555"/>
    <x v="1"/>
    <x v="19"/>
    <s v="Crispy Chole Pizzabun"/>
    <x v="1"/>
    <n v="65"/>
    <s v="Albain Forestier"/>
    <n v="5"/>
    <n v="0.37691249675566219"/>
    <n v="202.5034385544098"/>
  </r>
  <r>
    <s v="PBOR00556"/>
    <x v="2"/>
    <x v="62"/>
    <s v="Large Paneer Tikka Pizzabun"/>
    <x v="0"/>
    <n v="250"/>
    <s v="Roch Cousineau"/>
    <n v="1"/>
    <n v="0.83567802056461726"/>
    <n v="41.080494858845682"/>
  </r>
  <r>
    <s v="PBOR00557"/>
    <x v="3"/>
    <x v="43"/>
    <s v="Medium Crispy Chole Pizzabun"/>
    <x v="1"/>
    <n v="130"/>
    <s v="Adrien Martin"/>
    <n v="3"/>
    <n v="0.78209853410603947"/>
    <n v="84.981571698644615"/>
  </r>
  <r>
    <s v="PBOR00558"/>
    <x v="4"/>
    <x v="65"/>
    <s v="Minty Pizzabun"/>
    <x v="0"/>
    <n v="60"/>
    <s v="Albain Forestier"/>
    <n v="7"/>
    <n v="0.23488555611940387"/>
    <n v="321.34806642985035"/>
  </r>
  <r>
    <s v="PBOR00559"/>
    <x v="0"/>
    <x v="57"/>
    <s v="Paneer Tikka Pizzabun"/>
    <x v="1"/>
    <n v="72"/>
    <s v="Roch Cousineau"/>
    <n v="12"/>
    <n v="0.3253958212884438"/>
    <n v="582.85801040678462"/>
  </r>
  <r>
    <s v="PBOR00560"/>
    <x v="1"/>
    <x v="56"/>
    <s v="Crispy Chole Pizzabun"/>
    <x v="0"/>
    <n v="65"/>
    <s v="Adrien Martin"/>
    <n v="12"/>
    <n v="0.40970221049788225"/>
    <n v="460.43227581165183"/>
  </r>
  <r>
    <s v="PBOR00561"/>
    <x v="2"/>
    <x v="66"/>
    <s v="Large Paneer Tikka Pizzabun"/>
    <x v="1"/>
    <n v="250"/>
    <s v="Albain Forestier"/>
    <n v="3"/>
    <n v="0.34565866503636533"/>
    <n v="490.75600122272601"/>
  </r>
  <r>
    <s v="PBOR00562"/>
    <x v="3"/>
    <x v="37"/>
    <s v="Medium Crispy Chole Pizzabun"/>
    <x v="0"/>
    <n v="130"/>
    <s v="Roch Cousineau"/>
    <n v="5"/>
    <n v="0.54852155239372036"/>
    <n v="293.46099094408174"/>
  </r>
  <r>
    <s v="PBOR00563"/>
    <x v="0"/>
    <x v="45"/>
    <s v="Paneer Tikka Pizzabun"/>
    <x v="1"/>
    <n v="72"/>
    <s v="Adrien Martin"/>
    <n v="4"/>
    <n v="0.94088067704990097"/>
    <n v="17.02636500962852"/>
  </r>
  <r>
    <s v="PBOR00564"/>
    <x v="1"/>
    <x v="67"/>
    <s v="Crispy Chole Pizzabun"/>
    <x v="0"/>
    <n v="65"/>
    <s v="Albain Forestier"/>
    <n v="9"/>
    <n v="0.79159308909663639"/>
    <n v="121.91804287846772"/>
  </r>
  <r>
    <s v="PBOR00565"/>
    <x v="2"/>
    <x v="43"/>
    <s v="Large Paneer Tikka Pizzabun"/>
    <x v="1"/>
    <n v="250"/>
    <s v="Roch Cousineau"/>
    <n v="3"/>
    <n v="0.67119071455439439"/>
    <n v="246.60696408420421"/>
  </r>
  <r>
    <s v="PBOR00566"/>
    <x v="3"/>
    <x v="68"/>
    <s v="Medium Crispy Chole Pizzabun"/>
    <x v="0"/>
    <n v="130"/>
    <s v="Adrien Martin"/>
    <n v="5"/>
    <n v="0.16806463277687189"/>
    <n v="540.7579886950333"/>
  </r>
  <r>
    <s v="PBOR00567"/>
    <x v="4"/>
    <x v="69"/>
    <s v="Minty Pizzabun"/>
    <x v="0"/>
    <n v="60"/>
    <s v="Albain Forestier"/>
    <n v="4"/>
    <n v="0.10674292979788402"/>
    <n v="214.38169684850783"/>
  </r>
  <r>
    <s v="PBOR00568"/>
    <x v="5"/>
    <x v="52"/>
    <s v="Aloo Shots Pizzabun"/>
    <x v="1"/>
    <n v="95"/>
    <s v="Roch Cousineau"/>
    <n v="8"/>
    <n v="0.1275243471542804"/>
    <n v="663.08149616274693"/>
  </r>
  <r>
    <s v="PBOR00569"/>
    <x v="0"/>
    <x v="19"/>
    <s v="Paneer Tikka Pizzabun"/>
    <x v="1"/>
    <n v="72"/>
    <s v="Adrien Martin"/>
    <n v="9"/>
    <n v="0.11021169579280166"/>
    <n v="576.58282112626455"/>
  </r>
  <r>
    <s v="PBOR00570"/>
    <x v="1"/>
    <x v="47"/>
    <s v="Crispy Chole Pizzabun"/>
    <x v="1"/>
    <n v="65"/>
    <s v="Albain Forestier"/>
    <n v="6"/>
    <n v="0.46106326684112098"/>
    <n v="210.18532593196281"/>
  </r>
  <r>
    <s v="PBOR00571"/>
    <x v="2"/>
    <x v="70"/>
    <s v="Large Paneer Tikka Pizzabun"/>
    <x v="0"/>
    <n v="250"/>
    <s v="Roch Cousineau"/>
    <n v="4"/>
    <n v="0.96154475983982102"/>
    <n v="38.455240160178981"/>
  </r>
  <r>
    <s v="PBOR00572"/>
    <x v="3"/>
    <x v="71"/>
    <s v="Medium Crispy Chole Pizzabun"/>
    <x v="0"/>
    <n v="130"/>
    <s v="Adrien Martin"/>
    <n v="4"/>
    <n v="0.83760162351152612"/>
    <n v="84.447155774006418"/>
  </r>
  <r>
    <s v="PBOR00573"/>
    <x v="0"/>
    <x v="58"/>
    <s v="Paneer Tikka Pizzabun"/>
    <x v="0"/>
    <n v="72"/>
    <s v="Albain Forestier"/>
    <n v="9"/>
    <n v="0.99779740000135564"/>
    <n v="1.427284799121546"/>
  </r>
  <r>
    <s v="PBOR00574"/>
    <x v="1"/>
    <x v="19"/>
    <s v="Crispy Chole Pizzabun"/>
    <x v="0"/>
    <n v="65"/>
    <s v="Roch Cousineau"/>
    <n v="8"/>
    <n v="0.91881451449372176"/>
    <n v="42.216452463264687"/>
  </r>
  <r>
    <s v="PBOR00575"/>
    <x v="2"/>
    <x v="32"/>
    <s v="Large Paneer Tikka Pizzabun"/>
    <x v="0"/>
    <n v="250"/>
    <s v="Adrien Martin"/>
    <n v="1"/>
    <n v="0.71883783846335059"/>
    <n v="70.290540384162355"/>
  </r>
  <r>
    <s v="PBOR00576"/>
    <x v="3"/>
    <x v="60"/>
    <s v="Medium Crispy Chole Pizzabun"/>
    <x v="0"/>
    <n v="130"/>
    <s v="Albain Forestier"/>
    <n v="3"/>
    <n v="0.71972128339576125"/>
    <n v="109.30869947565311"/>
  </r>
  <r>
    <s v="PBOR00577"/>
    <x v="4"/>
    <x v="21"/>
    <s v="Minty Pizzabun"/>
    <x v="0"/>
    <n v="60"/>
    <s v="Roch Cousineau"/>
    <n v="13"/>
    <n v="0.67796699074311673"/>
    <n v="251.18574722036897"/>
  </r>
  <r>
    <s v="PBOR00578"/>
    <x v="0"/>
    <x v="53"/>
    <s v="Paneer Tikka Pizzabun"/>
    <x v="0"/>
    <n v="72"/>
    <s v="Adrien Martin"/>
    <n v="4"/>
    <n v="0.72456425340197284"/>
    <n v="79.325495020231827"/>
  </r>
  <r>
    <s v="PBOR00579"/>
    <x v="1"/>
    <x v="72"/>
    <s v="Crispy Chole Pizzabun"/>
    <x v="0"/>
    <n v="65"/>
    <s v="Albain Forestier"/>
    <n v="12"/>
    <n v="0.97940805607785575"/>
    <n v="16.061716259272515"/>
  </r>
  <r>
    <s v="PBOR00580"/>
    <x v="2"/>
    <x v="32"/>
    <s v="Large Paneer Tikka Pizzabun"/>
    <x v="1"/>
    <n v="250"/>
    <s v="Roch Cousineau"/>
    <n v="3"/>
    <n v="9.0553153890969296E-2"/>
    <n v="682.08513458177299"/>
  </r>
  <r>
    <s v="PBOR00581"/>
    <x v="3"/>
    <x v="73"/>
    <s v="Medium Crispy Chole Pizzabun"/>
    <x v="0"/>
    <n v="130"/>
    <s v="Adrien Martin"/>
    <n v="6"/>
    <n v="0.16575187332056907"/>
    <n v="650.71353880995616"/>
  </r>
  <r>
    <s v="PBOR00582"/>
    <x v="0"/>
    <x v="74"/>
    <s v="Paneer Tikka Pizzabun"/>
    <x v="0"/>
    <n v="72"/>
    <s v="Albain Forestier"/>
    <n v="5"/>
    <n v="0.24764728513269418"/>
    <n v="270.84697735223011"/>
  </r>
  <r>
    <s v="PBOR00583"/>
    <x v="1"/>
    <x v="75"/>
    <s v="Crispy Chole Pizzabun"/>
    <x v="0"/>
    <n v="65"/>
    <s v="Roch Cousineau"/>
    <n v="11"/>
    <n v="0.18751595748720862"/>
    <n v="580.9260903966458"/>
  </r>
  <r>
    <s v="PBOR00584"/>
    <x v="2"/>
    <x v="76"/>
    <s v="Large Paneer Tikka Pizzabun"/>
    <x v="0"/>
    <n v="250"/>
    <s v="Adrien Martin"/>
    <n v="2"/>
    <n v="0.47633632650354474"/>
    <n v="261.83183674822766"/>
  </r>
  <r>
    <s v="PBOR00585"/>
    <x v="3"/>
    <x v="61"/>
    <s v="Medium Crispy Chole Pizzabun"/>
    <x v="0"/>
    <n v="130"/>
    <s v="Albain Forestier"/>
    <n v="2"/>
    <n v="0.51713295289808603"/>
    <n v="125.54543224649763"/>
  </r>
  <r>
    <s v="PBOR00586"/>
    <x v="4"/>
    <x v="71"/>
    <s v="Minty Pizzabun"/>
    <x v="1"/>
    <n v="60"/>
    <s v="Roch Cousineau"/>
    <n v="10"/>
    <n v="0.26362118795244038"/>
    <n v="441.82728722853579"/>
  </r>
  <r>
    <s v="PBOR00587"/>
    <x v="5"/>
    <x v="59"/>
    <s v="Aloo Shots Pizzabun"/>
    <x v="0"/>
    <n v="95"/>
    <s v="Adrien Martin"/>
    <n v="6"/>
    <n v="0.61710636414851094"/>
    <n v="218.24937243534876"/>
  </r>
  <r>
    <s v="PBOR00588"/>
    <x v="0"/>
    <x v="77"/>
    <s v="Paneer Tikka Pizzabun"/>
    <x v="0"/>
    <n v="72"/>
    <s v="Albain Forestier"/>
    <n v="7"/>
    <n v="0.62905571678408279"/>
    <n v="186.95591874082228"/>
  </r>
  <r>
    <s v="PBOR00589"/>
    <x v="1"/>
    <x v="19"/>
    <s v="Crispy Chole Pizzabun"/>
    <x v="0"/>
    <n v="65"/>
    <s v="Roch Cousineau"/>
    <n v="8"/>
    <n v="0.22111887146286169"/>
    <n v="405.01818683931191"/>
  </r>
  <r>
    <s v="PBOR00590"/>
    <x v="2"/>
    <x v="70"/>
    <s v="Large Paneer Tikka Pizzabun"/>
    <x v="1"/>
    <n v="250"/>
    <s v="Adrien Martin"/>
    <n v="4"/>
    <n v="0.91851664664326793"/>
    <n v="81.483353356732067"/>
  </r>
  <r>
    <s v="PBOR00591"/>
    <x v="3"/>
    <x v="46"/>
    <s v="Medium Crispy Chole Pizzabun"/>
    <x v="1"/>
    <n v="130"/>
    <s v="Albain Forestier"/>
    <n v="6"/>
    <n v="0.92935822680969316"/>
    <n v="55.100583088439336"/>
  </r>
  <r>
    <s v="PBOR00592"/>
    <x v="0"/>
    <x v="39"/>
    <s v="Paneer Tikka Pizzabun"/>
    <x v="1"/>
    <n v="72"/>
    <s v="Roch Cousineau"/>
    <n v="4"/>
    <n v="0.3369191287617932"/>
    <n v="190.96729091660356"/>
  </r>
  <r>
    <s v="PBOR00593"/>
    <x v="1"/>
    <x v="39"/>
    <s v="Crispy Chole Pizzabun"/>
    <x v="1"/>
    <n v="65"/>
    <s v="Adrien Martin"/>
    <n v="9"/>
    <n v="0.44144515144931662"/>
    <n v="326.75458640214976"/>
  </r>
  <r>
    <s v="PBOR00594"/>
    <x v="2"/>
    <x v="19"/>
    <s v="Large Paneer Tikka Pizzabun"/>
    <x v="1"/>
    <n v="250"/>
    <s v="Albain Forestier"/>
    <n v="1"/>
    <n v="0.88861773345347539"/>
    <n v="27.845566636631151"/>
  </r>
  <r>
    <s v="PBOR00595"/>
    <x v="3"/>
    <x v="26"/>
    <s v="Medium Crispy Chole Pizzabun"/>
    <x v="1"/>
    <n v="130"/>
    <s v="Roch Cousineau"/>
    <n v="3"/>
    <n v="0.24810011417060474"/>
    <n v="293.24095547346417"/>
  </r>
  <r>
    <s v="PBOR00596"/>
    <x v="0"/>
    <x v="51"/>
    <s v="Paneer Tikka Pizzabun"/>
    <x v="0"/>
    <n v="72"/>
    <s v="Roch Cousineau"/>
    <n v="6"/>
    <n v="0.53779530266077591"/>
    <n v="199.67242925054481"/>
  </r>
  <r>
    <s v="PBOR00597"/>
    <x v="1"/>
    <x v="51"/>
    <s v="Crispy Chole Pizzabun"/>
    <x v="1"/>
    <n v="65"/>
    <s v="Adrien Martin"/>
    <n v="13"/>
    <n v="0.95846113955366707"/>
    <n v="35.100337077151323"/>
  </r>
  <r>
    <s v="PBOR00598"/>
    <x v="2"/>
    <x v="62"/>
    <s v="Large Paneer Tikka Pizzabun"/>
    <x v="0"/>
    <n v="250"/>
    <s v="Albain Forestier"/>
    <n v="1"/>
    <n v="0.67407105375136167"/>
    <n v="81.482236562159585"/>
  </r>
  <r>
    <s v="PBOR00599"/>
    <x v="3"/>
    <x v="54"/>
    <s v="Medium Crispy Chole Pizzabun"/>
    <x v="1"/>
    <n v="130"/>
    <s v="Roch Cousineau"/>
    <n v="3"/>
    <n v="0.62473955532315473"/>
    <n v="146.35157342396965"/>
  </r>
  <r>
    <s v="PBOR00600"/>
    <x v="0"/>
    <x v="53"/>
    <s v="Paneer Tikka Pizzabun"/>
    <x v="0"/>
    <n v="72"/>
    <s v="Adrien Martin"/>
    <n v="6"/>
    <n v="0.88884714446561897"/>
    <n v="48.01803359085261"/>
  </r>
  <r>
    <s v="PBOR00601"/>
    <x v="1"/>
    <x v="53"/>
    <s v="Crispy Chole Pizzabun"/>
    <x v="1"/>
    <n v="65"/>
    <s v="Albain Forestier"/>
    <n v="12"/>
    <n v="0.79579386218326631"/>
    <n v="159.28078749705227"/>
  </r>
  <r>
    <s v="PBOR00602"/>
    <x v="2"/>
    <x v="67"/>
    <s v="Large Paneer Tikka Pizzabun"/>
    <x v="0"/>
    <n v="250"/>
    <s v="Roch Cousineau"/>
    <n v="3"/>
    <n v="0.67817734432592047"/>
    <n v="241.36699175555964"/>
  </r>
  <r>
    <s v="PBOR00603"/>
    <x v="3"/>
    <x v="30"/>
    <s v="Medium Crispy Chole Pizzabun"/>
    <x v="1"/>
    <n v="130"/>
    <s v="Adrien Martin"/>
    <n v="4"/>
    <n v="0.17442880607836375"/>
    <n v="429.29702083925088"/>
  </r>
  <r>
    <s v="PBOR00604"/>
    <x v="4"/>
    <x v="52"/>
    <s v="Minty Pizzabun"/>
    <x v="0"/>
    <n v="60"/>
    <s v="Albain Forestier"/>
    <n v="11"/>
    <n v="6.0557587526884893E-2"/>
    <n v="620.03199223225602"/>
  </r>
  <r>
    <s v="PBOR00605"/>
    <x v="0"/>
    <x v="66"/>
    <s v="Paneer Tikka Pizzabun"/>
    <x v="1"/>
    <n v="72"/>
    <s v="Roch Cousineau"/>
    <n v="3"/>
    <n v="0.79293032662457485"/>
    <n v="44.72704944909183"/>
  </r>
  <r>
    <s v="PBOR00606"/>
    <x v="1"/>
    <x v="56"/>
    <s v="Crispy Chole Pizzabun"/>
    <x v="0"/>
    <n v="65"/>
    <s v="Adrien Martin"/>
    <n v="8"/>
    <n v="0.80867871813239378"/>
    <n v="99.487066571155239"/>
  </r>
  <r>
    <s v="PBOR00607"/>
    <x v="2"/>
    <x v="53"/>
    <s v="Large Paneer Tikka Pizzabun"/>
    <x v="1"/>
    <n v="250"/>
    <s v="Albain Forestier"/>
    <n v="3"/>
    <n v="0.99248685602773956"/>
    <n v="5.6348579791953295"/>
  </r>
  <r>
    <s v="PBOR00608"/>
    <x v="3"/>
    <x v="61"/>
    <s v="Medium Crispy Chole Pizzabun"/>
    <x v="0"/>
    <n v="130"/>
    <s v="Roch Cousineau"/>
    <n v="2"/>
    <n v="0.77942801634479897"/>
    <n v="57.34871575035227"/>
  </r>
  <r>
    <s v="PBOR00609"/>
    <x v="0"/>
    <x v="66"/>
    <s v="Paneer Tikka Pizzabun"/>
    <x v="1"/>
    <n v="72"/>
    <s v="Adrien Martin"/>
    <n v="12"/>
    <n v="0.21281618140987191"/>
    <n v="680.12681926187065"/>
  </r>
  <r>
    <s v="PBOR00610"/>
    <x v="1"/>
    <x v="53"/>
    <s v="Crispy Chole Pizzabun"/>
    <x v="0"/>
    <n v="65"/>
    <s v="Albain Forestier"/>
    <n v="13"/>
    <n v="0.46754713641602852"/>
    <n v="449.9226697284559"/>
  </r>
  <r>
    <s v="PBOR00611"/>
    <x v="2"/>
    <x v="44"/>
    <s v="Large Paneer Tikka Pizzabun"/>
    <x v="1"/>
    <n v="250"/>
    <s v="Roch Cousineau"/>
    <n v="2"/>
    <n v="0.33506403377724969"/>
    <n v="332.46798311137513"/>
  </r>
  <r>
    <s v="PBOR00612"/>
    <x v="3"/>
    <x v="78"/>
    <s v="Medium Crispy Chole Pizzabun"/>
    <x v="0"/>
    <n v="130"/>
    <s v="Adrien Martin"/>
    <n v="4"/>
    <n v="0.65276118855593912"/>
    <n v="180.56418195091166"/>
  </r>
  <r>
    <s v="PBOR00613"/>
    <x v="4"/>
    <x v="41"/>
    <s v="Minty Pizzabun"/>
    <x v="0"/>
    <n v="60"/>
    <s v="Albain Forestier"/>
    <n v="4"/>
    <n v="0.95803626221199789"/>
    <n v="10.071297069120506"/>
  </r>
  <r>
    <s v="PBOR00614"/>
    <x v="5"/>
    <x v="62"/>
    <s v="Aloo Shots Pizzabun"/>
    <x v="1"/>
    <n v="95"/>
    <s v="Roch Cousineau"/>
    <n v="8"/>
    <n v="4.8244771377073614E-2"/>
    <n v="723.33397375342406"/>
  </r>
  <r>
    <s v="PBOR00615"/>
    <x v="0"/>
    <x v="72"/>
    <s v="Paneer Tikka Pizzabun"/>
    <x v="1"/>
    <n v="72"/>
    <s v="Adrien Martin"/>
    <n v="10"/>
    <n v="0.65459097372540309"/>
    <n v="248.69449891770978"/>
  </r>
  <r>
    <s v="PBOR00616"/>
    <x v="1"/>
    <x v="30"/>
    <s v="Crispy Chole Pizzabun"/>
    <x v="1"/>
    <n v="65"/>
    <s v="Albain Forestier"/>
    <n v="7"/>
    <n v="0.92993655611560044"/>
    <n v="31.878866967401798"/>
  </r>
  <r>
    <s v="PBOR00617"/>
    <x v="2"/>
    <x v="69"/>
    <s v="Large Paneer Tikka Pizzabun"/>
    <x v="0"/>
    <n v="250"/>
    <s v="Roch Cousineau"/>
    <n v="3"/>
    <n v="0.4490336464429755"/>
    <n v="413.2247651677684"/>
  </r>
  <r>
    <s v="PBOR00618"/>
    <x v="3"/>
    <x v="71"/>
    <s v="Medium Crispy Chole Pizzabun"/>
    <x v="0"/>
    <n v="130"/>
    <s v="Adrien Martin"/>
    <n v="6"/>
    <n v="0.72733188311015073"/>
    <n v="212.68113117408242"/>
  </r>
  <r>
    <s v="PBOR00619"/>
    <x v="0"/>
    <x v="67"/>
    <s v="Paneer Tikka Pizzabun"/>
    <x v="0"/>
    <n v="72"/>
    <s v="Albain Forestier"/>
    <n v="7"/>
    <n v="6.9377387040839844E-3"/>
    <n v="500.50337969314165"/>
  </r>
  <r>
    <s v="PBOR00620"/>
    <x v="1"/>
    <x v="68"/>
    <s v="Crispy Chole Pizzabun"/>
    <x v="0"/>
    <n v="65"/>
    <s v="Roch Cousineau"/>
    <n v="3"/>
    <n v="0.36210339620942611"/>
    <n v="124.38983773916191"/>
  </r>
  <r>
    <s v="PBOR00621"/>
    <x v="2"/>
    <x v="48"/>
    <s v="Large Paneer Tikka Pizzabun"/>
    <x v="0"/>
    <n v="250"/>
    <s v="Adrien Martin"/>
    <n v="1"/>
    <n v="0.79860887012881598"/>
    <n v="50.347782467796002"/>
  </r>
  <r>
    <s v="PBOR00622"/>
    <x v="3"/>
    <x v="26"/>
    <s v="Medium Crispy Chole Pizzabun"/>
    <x v="0"/>
    <n v="130"/>
    <s v="Albain Forestier"/>
    <n v="5"/>
    <n v="0.86548172267447698"/>
    <n v="87.436880261589963"/>
  </r>
  <r>
    <s v="PBOR00623"/>
    <x v="4"/>
    <x v="76"/>
    <s v="Minty Pizzabun"/>
    <x v="0"/>
    <n v="60"/>
    <s v="Roch Cousineau"/>
    <n v="7"/>
    <n v="0.56996150951085933"/>
    <n v="180.61616600543908"/>
  </r>
  <r>
    <s v="PBOR00624"/>
    <x v="0"/>
    <x v="45"/>
    <s v="Paneer Tikka Pizzabun"/>
    <x v="0"/>
    <n v="72"/>
    <s v="Adrien Martin"/>
    <n v="7"/>
    <n v="4.8542373340562439E-2"/>
    <n v="479.53464383635651"/>
  </r>
  <r>
    <s v="PBOR00625"/>
    <x v="1"/>
    <x v="63"/>
    <s v="Crispy Chole Pizzabun"/>
    <x v="0"/>
    <n v="65"/>
    <s v="Albain Forestier"/>
    <n v="11"/>
    <n v="0.57833771378911702"/>
    <n v="301.48853464078132"/>
  </r>
  <r>
    <s v="PBOR00626"/>
    <x v="2"/>
    <x v="58"/>
    <s v="Large Paneer Tikka Pizzabun"/>
    <x v="1"/>
    <n v="250"/>
    <s v="Roch Cousineau"/>
    <n v="1"/>
    <n v="0.53645552213918402"/>
    <n v="115.88611946520399"/>
  </r>
  <r>
    <s v="PBOR00627"/>
    <x v="3"/>
    <x v="62"/>
    <s v="Medium Crispy Chole Pizzabun"/>
    <x v="0"/>
    <n v="130"/>
    <s v="Adrien Martin"/>
    <n v="5"/>
    <n v="0.16234085339738236"/>
    <n v="544.47844529170152"/>
  </r>
  <r>
    <s v="PBOR00628"/>
    <x v="0"/>
    <x v="79"/>
    <s v="Paneer Tikka Pizzabun"/>
    <x v="0"/>
    <n v="72"/>
    <s v="Albain Forestier"/>
    <n v="11"/>
    <n v="0.84777890511059684"/>
    <n v="120.55910715240731"/>
  </r>
  <r>
    <s v="PBOR00629"/>
    <x v="1"/>
    <x v="70"/>
    <s v="Crispy Chole Pizzabun"/>
    <x v="0"/>
    <n v="65"/>
    <s v="Roch Cousineau"/>
    <n v="7"/>
    <n v="0.19046707339755886"/>
    <n v="368.33748160411074"/>
  </r>
  <r>
    <s v="PBOR00630"/>
    <x v="2"/>
    <x v="64"/>
    <s v="Large Paneer Tikka Pizzabun"/>
    <x v="0"/>
    <n v="250"/>
    <s v="Adrien Martin"/>
    <n v="2"/>
    <n v="0.49695547653833261"/>
    <n v="251.52226173083369"/>
  </r>
  <r>
    <s v="PBOR00631"/>
    <x v="3"/>
    <x v="37"/>
    <s v="Medium Crispy Chole Pizzabun"/>
    <x v="0"/>
    <n v="130"/>
    <s v="Albain Forestier"/>
    <n v="3"/>
    <n v="0.28876200229292215"/>
    <n v="277.38281910576035"/>
  </r>
  <r>
    <s v="PBOR00632"/>
    <x v="4"/>
    <x v="54"/>
    <s v="Minty Pizzabun"/>
    <x v="1"/>
    <n v="60"/>
    <s v="Roch Cousineau"/>
    <n v="4"/>
    <n v="0.8941508874566203"/>
    <n v="25.403787010411129"/>
  </r>
  <r>
    <s v="PBOR00633"/>
    <x v="5"/>
    <x v="40"/>
    <s v="Aloo Shots Pizzabun"/>
    <x v="0"/>
    <n v="95"/>
    <s v="Adrien Martin"/>
    <n v="4"/>
    <n v="0.28473579586258513"/>
    <n v="271.80039757221766"/>
  </r>
  <r>
    <s v="PBOR00634"/>
    <x v="0"/>
    <x v="43"/>
    <s v="Paneer Tikka Pizzabun"/>
    <x v="0"/>
    <n v="72"/>
    <s v="Albain Forestier"/>
    <n v="8"/>
    <n v="0.31805905749075469"/>
    <n v="392.79798288532527"/>
  </r>
  <r>
    <s v="PBOR00635"/>
    <x v="1"/>
    <x v="50"/>
    <s v="Crispy Chole Pizzabun"/>
    <x v="0"/>
    <n v="65"/>
    <s v="Roch Cousineau"/>
    <n v="12"/>
    <n v="0.17285992170779363"/>
    <n v="645.16926106792096"/>
  </r>
  <r>
    <s v="PBOR00636"/>
    <x v="2"/>
    <x v="21"/>
    <s v="Large Paneer Tikka Pizzabun"/>
    <x v="1"/>
    <n v="250"/>
    <s v="Adrien Martin"/>
    <n v="3"/>
    <n v="0.78411020728493297"/>
    <n v="161.91734453630028"/>
  </r>
  <r>
    <s v="PBOR00637"/>
    <x v="3"/>
    <x v="80"/>
    <s v="Medium Crispy Chole Pizzabun"/>
    <x v="1"/>
    <n v="130"/>
    <s v="Albain Forestier"/>
    <n v="2"/>
    <n v="0.47958902935079717"/>
    <n v="135.30685236879273"/>
  </r>
  <r>
    <s v="PBOR00638"/>
    <x v="0"/>
    <x v="17"/>
    <s v="Paneer Tikka Pizzabun"/>
    <x v="1"/>
    <n v="72"/>
    <s v="Roch Cousineau"/>
    <n v="10"/>
    <n v="0.27557706599180765"/>
    <n v="521.58451248589847"/>
  </r>
  <r>
    <s v="PBOR00639"/>
    <x v="1"/>
    <x v="48"/>
    <s v="Crispy Chole Pizzabun"/>
    <x v="1"/>
    <n v="65"/>
    <s v="Adrien Martin"/>
    <n v="9"/>
    <n v="0.95145177862188579"/>
    <n v="28.400709506196812"/>
  </r>
  <r>
    <s v="PBOR00640"/>
    <x v="2"/>
    <x v="77"/>
    <s v="Large Paneer Tikka Pizzabun"/>
    <x v="1"/>
    <n v="250"/>
    <s v="Albain Forestier"/>
    <n v="2"/>
    <n v="0.18482233222192646"/>
    <n v="407.58883388903678"/>
  </r>
  <r>
    <s v="PBOR00641"/>
    <x v="3"/>
    <x v="40"/>
    <s v="Medium Crispy Chole Pizzabun"/>
    <x v="1"/>
    <n v="130"/>
    <s v="Roch Cousineau"/>
    <n v="3"/>
    <n v="0.70010096155626689"/>
    <n v="116.96062499305592"/>
  </r>
  <r>
    <s v="PBOR00642"/>
    <x v="0"/>
    <x v="46"/>
    <s v="Paneer Tikka Pizzabun"/>
    <x v="0"/>
    <n v="72"/>
    <s v="Roch Cousineau"/>
    <n v="9"/>
    <n v="0.14758414099648454"/>
    <n v="552.36547663427802"/>
  </r>
  <r>
    <s v="PBOR00643"/>
    <x v="1"/>
    <x v="26"/>
    <s v="Crispy Chole Pizzabun"/>
    <x v="1"/>
    <n v="65"/>
    <s v="Adrien Martin"/>
    <n v="6"/>
    <n v="2.9151993624227823E-2"/>
    <n v="378.63072248655112"/>
  </r>
  <r>
    <s v="PBOR00644"/>
    <x v="2"/>
    <x v="67"/>
    <s v="Large Paneer Tikka Pizzabun"/>
    <x v="0"/>
    <n v="250"/>
    <s v="Albain Forestier"/>
    <n v="3"/>
    <n v="0.22668295240749503"/>
    <n v="579.98778569437877"/>
  </r>
  <r>
    <s v="PBOR00645"/>
    <x v="3"/>
    <x v="29"/>
    <s v="Medium Crispy Chole Pizzabun"/>
    <x v="1"/>
    <n v="130"/>
    <s v="Roch Cousineau"/>
    <n v="3"/>
    <n v="0.67754122569118891"/>
    <n v="125.75892198043633"/>
  </r>
  <r>
    <s v="PBOR00646"/>
    <x v="0"/>
    <x v="58"/>
    <s v="Paneer Tikka Pizzabun"/>
    <x v="0"/>
    <n v="72"/>
    <s v="Adrien Martin"/>
    <n v="11"/>
    <n v="0.45432748476289075"/>
    <n v="432.17263206779052"/>
  </r>
  <r>
    <s v="PBOR00647"/>
    <x v="1"/>
    <x v="48"/>
    <s v="Crispy Chole Pizzabun"/>
    <x v="1"/>
    <n v="65"/>
    <s v="Albain Forestier"/>
    <n v="13"/>
    <n v="0.18115403132128027"/>
    <n v="691.92484353351813"/>
  </r>
  <r>
    <s v="PBOR00648"/>
    <x v="2"/>
    <x v="44"/>
    <s v="Large Paneer Tikka Pizzabun"/>
    <x v="0"/>
    <n v="250"/>
    <s v="Roch Cousineau"/>
    <n v="3"/>
    <n v="0.39782959436372822"/>
    <n v="451.62780422720385"/>
  </r>
  <r>
    <s v="PBOR00649"/>
    <x v="3"/>
    <x v="81"/>
    <s v="Medium Crispy Chole Pizzabun"/>
    <x v="1"/>
    <n v="130"/>
    <s v="Adrien Martin"/>
    <n v="3"/>
    <n v="0.54366667828215209"/>
    <n v="177.96999546996068"/>
  </r>
  <r>
    <s v="PBOR00650"/>
    <x v="4"/>
    <x v="71"/>
    <s v="Minty Pizzabun"/>
    <x v="0"/>
    <n v="60"/>
    <s v="Albain Forestier"/>
    <n v="6"/>
    <n v="0.88540262796534885"/>
    <n v="41.255053932474411"/>
  </r>
  <r>
    <s v="PBOR00651"/>
    <x v="0"/>
    <x v="70"/>
    <s v="Paneer Tikka Pizzabun"/>
    <x v="1"/>
    <n v="72"/>
    <s v="Roch Cousineau"/>
    <n v="6"/>
    <n v="0.78856019486083617"/>
    <n v="91.341995820118768"/>
  </r>
  <r>
    <s v="PBOR00652"/>
    <x v="1"/>
    <x v="70"/>
    <s v="Crispy Chole Pizzabun"/>
    <x v="0"/>
    <n v="65"/>
    <s v="Adrien Martin"/>
    <n v="5"/>
    <n v="0.59447603737829435"/>
    <n v="131.79528785205434"/>
  </r>
  <r>
    <s v="PBOR00653"/>
    <x v="2"/>
    <x v="73"/>
    <s v="Large Paneer Tikka Pizzabun"/>
    <x v="1"/>
    <n v="250"/>
    <s v="Albain Forestier"/>
    <n v="3"/>
    <n v="0.17753008893833389"/>
    <n v="616.85243329624961"/>
  </r>
  <r>
    <s v="PBOR00654"/>
    <x v="3"/>
    <x v="81"/>
    <s v="Medium Crispy Chole Pizzabun"/>
    <x v="0"/>
    <n v="130"/>
    <s v="Roch Cousineau"/>
    <n v="6"/>
    <n v="0.25884806883106504"/>
    <n v="578.09850631176926"/>
  </r>
  <r>
    <s v="PBOR00655"/>
    <x v="0"/>
    <x v="29"/>
    <s v="Paneer Tikka Pizzabun"/>
    <x v="1"/>
    <n v="72"/>
    <s v="Adrien Martin"/>
    <n v="5"/>
    <n v="0.46809010036778687"/>
    <n v="191.48756386759672"/>
  </r>
  <r>
    <s v="PBOR00656"/>
    <x v="1"/>
    <x v="43"/>
    <s v="Crispy Chole Pizzabun"/>
    <x v="0"/>
    <n v="65"/>
    <s v="Albain Forestier"/>
    <n v="10"/>
    <n v="0.50126416378423067"/>
    <n v="324.17829354025008"/>
  </r>
  <r>
    <s v="PBOR00657"/>
    <x v="2"/>
    <x v="40"/>
    <s v="Large Paneer Tikka Pizzabun"/>
    <x v="1"/>
    <n v="250"/>
    <s v="Roch Cousineau"/>
    <n v="2"/>
    <n v="0.90405171734071732"/>
    <n v="47.974141329641341"/>
  </r>
  <r>
    <s v="PBOR00658"/>
    <x v="3"/>
    <x v="78"/>
    <s v="Medium Crispy Chole Pizzabun"/>
    <x v="0"/>
    <n v="130"/>
    <s v="Adrien Martin"/>
    <n v="2"/>
    <n v="7.876393307569185E-2"/>
    <n v="239.52137740032012"/>
  </r>
  <r>
    <s v="PBOR00659"/>
    <x v="4"/>
    <x v="43"/>
    <s v="Minty Pizzabun"/>
    <x v="0"/>
    <n v="60"/>
    <s v="Albain Forestier"/>
    <n v="10"/>
    <n v="0.50117029036507366"/>
    <n v="299.2978257809558"/>
  </r>
  <r>
    <s v="PBOR00660"/>
    <x v="5"/>
    <x v="48"/>
    <s v="Aloo Shots Pizzabun"/>
    <x v="1"/>
    <n v="95"/>
    <s v="Roch Cousineau"/>
    <n v="3"/>
    <n v="0.87184182526009568"/>
    <n v="36.525079800872732"/>
  </r>
  <r>
    <s v="PBOR00661"/>
    <x v="0"/>
    <x v="42"/>
    <s v="Paneer Tikka Pizzabun"/>
    <x v="1"/>
    <n v="72"/>
    <s v="Adrien Martin"/>
    <n v="6"/>
    <n v="0.21972414509688709"/>
    <n v="337.07916931814475"/>
  </r>
  <r>
    <s v="PBOR00662"/>
    <x v="1"/>
    <x v="59"/>
    <s v="Crispy Chole Pizzabun"/>
    <x v="1"/>
    <n v="65"/>
    <s v="Albain Forestier"/>
    <n v="8"/>
    <n v="0.27781620258124917"/>
    <n v="375.53557465775043"/>
  </r>
  <r>
    <s v="PBOR00663"/>
    <x v="2"/>
    <x v="61"/>
    <s v="Large Paneer Tikka Pizzabun"/>
    <x v="0"/>
    <n v="250"/>
    <s v="Roch Cousineau"/>
    <n v="2"/>
    <n v="0.20069771671817294"/>
    <n v="399.65114164091352"/>
  </r>
  <r>
    <s v="PBOR00664"/>
    <x v="3"/>
    <x v="77"/>
    <s v="Medium Crispy Chole Pizzabun"/>
    <x v="0"/>
    <n v="130"/>
    <s v="Adrien Martin"/>
    <n v="2"/>
    <n v="0.76485469292926522"/>
    <n v="61.13777983839104"/>
  </r>
  <r>
    <s v="PBOR00665"/>
    <x v="0"/>
    <x v="69"/>
    <s v="Paneer Tikka Pizzabun"/>
    <x v="0"/>
    <n v="72"/>
    <s v="Albain Forestier"/>
    <n v="9"/>
    <n v="0.75788176508048144"/>
    <n v="156.89261622784804"/>
  </r>
  <r>
    <s v="PBOR00666"/>
    <x v="1"/>
    <x v="19"/>
    <s v="Crispy Chole Pizzabun"/>
    <x v="0"/>
    <n v="65"/>
    <s v="Roch Cousineau"/>
    <n v="4"/>
    <n v="0.70642577290560316"/>
    <n v="76.329299044543177"/>
  </r>
  <r>
    <s v="PBOR00667"/>
    <x v="2"/>
    <x v="46"/>
    <s v="Large Paneer Tikka Pizzabun"/>
    <x v="0"/>
    <n v="250"/>
    <s v="Adrien Martin"/>
    <n v="1"/>
    <n v="0.25809241257031967"/>
    <n v="185.47689685742009"/>
  </r>
  <r>
    <s v="PBOR00668"/>
    <x v="3"/>
    <x v="69"/>
    <s v="Medium Crispy Chole Pizzabun"/>
    <x v="0"/>
    <n v="130"/>
    <s v="Albain Forestier"/>
    <n v="5"/>
    <n v="0.73818900021465617"/>
    <n v="170.17714986047349"/>
  </r>
  <r>
    <s v="PBOR00669"/>
    <x v="4"/>
    <x v="54"/>
    <s v="Minty Pizzabun"/>
    <x v="0"/>
    <n v="60"/>
    <s v="Roch Cousineau"/>
    <n v="12"/>
    <n v="0.98104635423279452"/>
    <n v="13.646624952387949"/>
  </r>
  <r>
    <s v="PBOR00670"/>
    <x v="0"/>
    <x v="71"/>
    <s v="Paneer Tikka Pizzabun"/>
    <x v="0"/>
    <n v="72"/>
    <s v="Adrien Martin"/>
    <n v="6"/>
    <n v="0.15620892012703069"/>
    <n v="364.51774650512272"/>
  </r>
  <r>
    <s v="PBOR00671"/>
    <x v="1"/>
    <x v="48"/>
    <s v="Crispy Chole Pizzabun"/>
    <x v="0"/>
    <n v="65"/>
    <s v="Albain Forestier"/>
    <n v="6"/>
    <n v="0.8465345915358875"/>
    <n v="59.851509301003873"/>
  </r>
  <r>
    <s v="PBOR00672"/>
    <x v="2"/>
    <x v="37"/>
    <s v="Large Paneer Tikka Pizzabun"/>
    <x v="1"/>
    <n v="250"/>
    <s v="Roch Cousineau"/>
    <n v="2"/>
    <n v="0.92507216562459083"/>
    <n v="37.463917187704588"/>
  </r>
  <r>
    <s v="PBOR00673"/>
    <x v="3"/>
    <x v="49"/>
    <s v="Medium Crispy Chole Pizzabun"/>
    <x v="0"/>
    <n v="130"/>
    <s v="Adrien Martin"/>
    <n v="4"/>
    <n v="2.4491087147730073E-2"/>
    <n v="507.26463468318036"/>
  </r>
  <r>
    <s v="PBOR00674"/>
    <x v="0"/>
    <x v="50"/>
    <s v="Paneer Tikka Pizzabun"/>
    <x v="0"/>
    <n v="72"/>
    <s v="Albain Forestier"/>
    <n v="10"/>
    <n v="0.27935117676469023"/>
    <n v="518.86715272942308"/>
  </r>
  <r>
    <s v="PBOR00675"/>
    <x v="1"/>
    <x v="67"/>
    <s v="Crispy Chole Pizzabun"/>
    <x v="0"/>
    <n v="65"/>
    <s v="Roch Cousineau"/>
    <n v="8"/>
    <n v="7.0378631492486798E-2"/>
    <n v="483.40311162390685"/>
  </r>
  <r>
    <s v="PBOR00676"/>
    <x v="2"/>
    <x v="68"/>
    <s v="Large Paneer Tikka Pizzabun"/>
    <x v="0"/>
    <n v="250"/>
    <s v="Adrien Martin"/>
    <n v="2"/>
    <n v="0.39042765310669614"/>
    <n v="304.78617344665196"/>
  </r>
  <r>
    <s v="PBOR00677"/>
    <x v="3"/>
    <x v="68"/>
    <s v="Medium Crispy Chole Pizzabun"/>
    <x v="0"/>
    <n v="130"/>
    <s v="Albain Forestier"/>
    <n v="2"/>
    <n v="4.2428677620849009E-2"/>
    <n v="248.96854381857926"/>
  </r>
  <r>
    <s v="PBOR00678"/>
    <x v="4"/>
    <x v="47"/>
    <s v="Minty Pizzabun"/>
    <x v="1"/>
    <n v="60"/>
    <s v="Roch Cousineau"/>
    <n v="14"/>
    <n v="0.96832159861340095"/>
    <n v="26.609857164743204"/>
  </r>
  <r>
    <s v="PBOR00679"/>
    <x v="5"/>
    <x v="69"/>
    <s v="Aloo Shots Pizzabun"/>
    <x v="0"/>
    <n v="95"/>
    <s v="Adrien Martin"/>
    <n v="3"/>
    <n v="0.78787380620927761"/>
    <n v="60.455965230355879"/>
  </r>
  <r>
    <s v="PBOR00680"/>
    <x v="0"/>
    <x v="77"/>
    <s v="Paneer Tikka Pizzabun"/>
    <x v="0"/>
    <n v="72"/>
    <s v="Albain Forestier"/>
    <n v="6"/>
    <n v="0.33131835914349861"/>
    <n v="288.87046885000859"/>
  </r>
  <r>
    <s v="PBOR00681"/>
    <x v="1"/>
    <x v="41"/>
    <s v="Crispy Chole Pizzabun"/>
    <x v="0"/>
    <n v="65"/>
    <s v="Roch Cousineau"/>
    <n v="12"/>
    <n v="0.57186594310509054"/>
    <n v="333.94456437802938"/>
  </r>
  <r>
    <s v="PBOR00682"/>
    <x v="2"/>
    <x v="69"/>
    <s v="Large Paneer Tikka Pizzabun"/>
    <x v="1"/>
    <n v="250"/>
    <s v="Adrien Martin"/>
    <n v="2"/>
    <n v="0.15057048110033733"/>
    <n v="424.71475944983132"/>
  </r>
  <r>
    <s v="PBOR00683"/>
    <x v="3"/>
    <x v="63"/>
    <s v="Medium Crispy Chole Pizzabun"/>
    <x v="1"/>
    <n v="130"/>
    <s v="Albain Forestier"/>
    <n v="2"/>
    <n v="0.97144739983420358"/>
    <n v="7.4236760431070685"/>
  </r>
  <r>
    <s v="PBOR00684"/>
    <x v="0"/>
    <x v="41"/>
    <s v="Paneer Tikka Pizzabun"/>
    <x v="1"/>
    <n v="72"/>
    <s v="Roch Cousineau"/>
    <n v="8"/>
    <n v="0.85429618872759994"/>
    <n v="83.925395292902436"/>
  </r>
  <r>
    <s v="PBOR00685"/>
    <x v="1"/>
    <x v="45"/>
    <s v="Crispy Chole Pizzabun"/>
    <x v="1"/>
    <n v="65"/>
    <s v="Adrien Martin"/>
    <n v="10"/>
    <n v="0.33209570036024361"/>
    <n v="434.13779476584165"/>
  </r>
  <r>
    <s v="PBOR00686"/>
    <x v="2"/>
    <x v="57"/>
    <s v="Large Paneer Tikka Pizzabun"/>
    <x v="1"/>
    <n v="250"/>
    <s v="Albain Forestier"/>
    <n v="3"/>
    <n v="0.12470675742983406"/>
    <n v="656.46993192762443"/>
  </r>
  <r>
    <s v="PBOR00687"/>
    <x v="3"/>
    <x v="64"/>
    <s v="Medium Crispy Chole Pizzabun"/>
    <x v="1"/>
    <n v="130"/>
    <s v="Roch Cousineau"/>
    <n v="7"/>
    <n v="0.40677164006800004"/>
    <n v="539.83780753811993"/>
  </r>
  <r>
    <s v="PBOR00688"/>
    <x v="0"/>
    <x v="33"/>
    <s v="Paneer Tikka Pizzabun"/>
    <x v="0"/>
    <n v="72"/>
    <s v="Roch Cousineau"/>
    <n v="10"/>
    <n v="0.7616643147664115"/>
    <n v="171.60169336818373"/>
  </r>
  <r>
    <s v="PBOR00689"/>
    <x v="1"/>
    <x v="40"/>
    <s v="Crispy Chole Pizzabun"/>
    <x v="1"/>
    <n v="65"/>
    <s v="Adrien Martin"/>
    <n v="13"/>
    <n v="0.35516610468434651"/>
    <n v="544.88464154172721"/>
  </r>
  <r>
    <s v="PBOR00690"/>
    <x v="2"/>
    <x v="70"/>
    <s v="Large Paneer Tikka Pizzabun"/>
    <x v="0"/>
    <n v="250"/>
    <s v="Albain Forestier"/>
    <n v="1"/>
    <n v="0.10614521808664412"/>
    <n v="223.46369547833896"/>
  </r>
  <r>
    <s v="PBOR00691"/>
    <x v="3"/>
    <x v="55"/>
    <s v="Medium Crispy Chole Pizzabun"/>
    <x v="1"/>
    <n v="130"/>
    <s v="Roch Cousineau"/>
    <n v="2"/>
    <n v="2.406149166353555E-2"/>
    <n v="253.74401216748075"/>
  </r>
  <r>
    <s v="PBOR00692"/>
    <x v="0"/>
    <x v="48"/>
    <s v="Paneer Tikka Pizzabun"/>
    <x v="0"/>
    <n v="72"/>
    <s v="Adrien Martin"/>
    <n v="10"/>
    <n v="0.73949086351919624"/>
    <n v="187.56657826617871"/>
  </r>
  <r>
    <s v="PBOR00693"/>
    <x v="1"/>
    <x v="78"/>
    <s v="Crispy Chole Pizzabun"/>
    <x v="1"/>
    <n v="65"/>
    <s v="Albain Forestier"/>
    <n v="4"/>
    <n v="0.29578005760970472"/>
    <n v="183.09718502147678"/>
  </r>
  <r>
    <s v="PBOR00694"/>
    <x v="2"/>
    <x v="65"/>
    <s v="Large Paneer Tikka Pizzabun"/>
    <x v="0"/>
    <n v="250"/>
    <s v="Roch Cousineau"/>
    <n v="3"/>
    <n v="0.97254382236540393"/>
    <n v="20.592133225947052"/>
  </r>
  <r>
    <s v="PBOR00695"/>
    <x v="3"/>
    <x v="80"/>
    <s v="Medium Crispy Chole Pizzabun"/>
    <x v="1"/>
    <n v="130"/>
    <s v="Adrien Martin"/>
    <n v="4"/>
    <n v="0.79881029453447927"/>
    <n v="104.61864684207077"/>
  </r>
  <r>
    <s v="PBOR00696"/>
    <x v="4"/>
    <x v="42"/>
    <s v="Minty Pizzabun"/>
    <x v="0"/>
    <n v="60"/>
    <s v="Albain Forestier"/>
    <n v="13"/>
    <n v="3.0635433669254697E-2"/>
    <n v="756.10436173798132"/>
  </r>
  <r>
    <s v="PBOR00697"/>
    <x v="0"/>
    <x v="21"/>
    <s v="Paneer Tikka Pizzabun"/>
    <x v="1"/>
    <n v="72"/>
    <s v="Roch Cousineau"/>
    <n v="3"/>
    <n v="0.28228364886598778"/>
    <n v="155.02673184494665"/>
  </r>
  <r>
    <s v="PBOR00698"/>
    <x v="1"/>
    <x v="30"/>
    <s v="Crispy Chole Pizzabun"/>
    <x v="0"/>
    <n v="65"/>
    <s v="Adrien Martin"/>
    <n v="9"/>
    <n v="8.0271549557480837E-2"/>
    <n v="538.04114350887369"/>
  </r>
  <r>
    <s v="PBOR00699"/>
    <x v="2"/>
    <x v="17"/>
    <s v="Large Paneer Tikka Pizzabun"/>
    <x v="1"/>
    <n v="250"/>
    <s v="Albain Forestier"/>
    <n v="3"/>
    <n v="0.20540065532810814"/>
    <n v="595.94950850391888"/>
  </r>
  <r>
    <s v="PBOR00700"/>
    <x v="3"/>
    <x v="48"/>
    <s v="Medium Crispy Chole Pizzabun"/>
    <x v="0"/>
    <n v="130"/>
    <s v="Roch Cousineau"/>
    <n v="5"/>
    <n v="0.52808666777342728"/>
    <n v="306.74366594727229"/>
  </r>
  <r>
    <s v="PBOR00701"/>
    <x v="0"/>
    <x v="17"/>
    <s v="Paneer Tikka Pizzabun"/>
    <x v="1"/>
    <n v="72"/>
    <s v="Adrien Martin"/>
    <n v="9"/>
    <n v="0.20562809410257121"/>
    <n v="514.75299502153382"/>
  </r>
  <r>
    <s v="PBOR00702"/>
    <x v="1"/>
    <x v="75"/>
    <s v="Crispy Chole Pizzabun"/>
    <x v="0"/>
    <n v="65"/>
    <s v="Albain Forestier"/>
    <n v="7"/>
    <n v="0.12586066854209488"/>
    <n v="397.73339581334682"/>
  </r>
  <r>
    <s v="PBOR00703"/>
    <x v="2"/>
    <x v="44"/>
    <s v="Large Paneer Tikka Pizzabun"/>
    <x v="1"/>
    <n v="250"/>
    <s v="Roch Cousineau"/>
    <n v="2"/>
    <n v="0.36837959446318957"/>
    <n v="315.81020276840519"/>
  </r>
  <r>
    <s v="PBOR00704"/>
    <x v="3"/>
    <x v="41"/>
    <s v="Medium Crispy Chole Pizzabun"/>
    <x v="0"/>
    <n v="130"/>
    <s v="Adrien Martin"/>
    <n v="7"/>
    <n v="0.60376267169237685"/>
    <n v="360.57596875993704"/>
  </r>
  <r>
    <s v="PBOR00705"/>
    <x v="4"/>
    <x v="37"/>
    <s v="Minty Pizzabun"/>
    <x v="0"/>
    <n v="60"/>
    <s v="Albain Forestier"/>
    <n v="8"/>
    <n v="0.19720967587594584"/>
    <n v="385.33935557954601"/>
  </r>
  <r>
    <s v="PBOR00706"/>
    <x v="5"/>
    <x v="65"/>
    <s v="Aloo Shots Pizzabun"/>
    <x v="1"/>
    <n v="95"/>
    <s v="Roch Cousineau"/>
    <n v="2"/>
    <n v="0.8668739964813772"/>
    <n v="25.293940668538333"/>
  </r>
  <r>
    <s v="PBOR00707"/>
    <x v="0"/>
    <x v="40"/>
    <s v="Paneer Tikka Pizzabun"/>
    <x v="1"/>
    <n v="72"/>
    <s v="Adrien Martin"/>
    <n v="5"/>
    <n v="0.55072733423313691"/>
    <n v="161.73815967607072"/>
  </r>
  <r>
    <s v="PBOR00708"/>
    <x v="1"/>
    <x v="26"/>
    <s v="Crispy Chole Pizzabun"/>
    <x v="1"/>
    <n v="65"/>
    <s v="Albain Forestier"/>
    <n v="13"/>
    <n v="0.45584569569494626"/>
    <n v="459.81038713777042"/>
  </r>
  <r>
    <s v="PBOR00709"/>
    <x v="2"/>
    <x v="46"/>
    <s v="Large Paneer Tikka Pizzabun"/>
    <x v="0"/>
    <n v="250"/>
    <s v="Roch Cousineau"/>
    <n v="3"/>
    <n v="0.57208393419042824"/>
    <n v="320.93704935717881"/>
  </r>
  <r>
    <s v="PBOR00710"/>
    <x v="3"/>
    <x v="82"/>
    <s v="Medium Crispy Chole Pizzabun"/>
    <x v="0"/>
    <n v="130"/>
    <s v="Adrien Martin"/>
    <n v="2"/>
    <n v="0.42290071730774559"/>
    <n v="150.04581349998614"/>
  </r>
  <r>
    <s v="PBOR00711"/>
    <x v="0"/>
    <x v="56"/>
    <s v="Paneer Tikka Pizzabun"/>
    <x v="0"/>
    <n v="72"/>
    <s v="Albain Forestier"/>
    <n v="5"/>
    <n v="0.60876093308872348"/>
    <n v="140.84606408805953"/>
  </r>
  <r>
    <s v="PBOR00712"/>
    <x v="1"/>
    <x v="62"/>
    <s v="Crispy Chole Pizzabun"/>
    <x v="0"/>
    <n v="65"/>
    <s v="Roch Cousineau"/>
    <n v="6"/>
    <n v="0.72453323861428653"/>
    <n v="107.43203694042825"/>
  </r>
  <r>
    <s v="PBOR00713"/>
    <x v="2"/>
    <x v="74"/>
    <s v="Large Paneer Tikka Pizzabun"/>
    <x v="0"/>
    <n v="250"/>
    <s v="Adrien Martin"/>
    <n v="1"/>
    <n v="0.58340891316686028"/>
    <n v="104.14777170828494"/>
  </r>
  <r>
    <s v="PBOR00714"/>
    <x v="3"/>
    <x v="26"/>
    <s v="Medium Crispy Chole Pizzabun"/>
    <x v="0"/>
    <n v="130"/>
    <s v="Albain Forestier"/>
    <n v="4"/>
    <n v="0.11869113124539932"/>
    <n v="458.28061175239236"/>
  </r>
  <r>
    <s v="PBOR00715"/>
    <x v="4"/>
    <x v="43"/>
    <s v="Minty Pizzabun"/>
    <x v="0"/>
    <n v="60"/>
    <s v="Roch Cousineau"/>
    <n v="7"/>
    <n v="0.81643963702006694"/>
    <n v="77.095352451571884"/>
  </r>
  <r>
    <s v="PBOR00716"/>
    <x v="0"/>
    <x v="57"/>
    <s v="Paneer Tikka Pizzabun"/>
    <x v="0"/>
    <n v="72"/>
    <s v="Adrien Martin"/>
    <n v="6"/>
    <n v="0.67538840654002519"/>
    <n v="140.23220837470913"/>
  </r>
  <r>
    <s v="PBOR00717"/>
    <x v="1"/>
    <x v="40"/>
    <s v="Crispy Chole Pizzabun"/>
    <x v="0"/>
    <n v="65"/>
    <s v="Albain Forestier"/>
    <n v="11"/>
    <n v="0.59588530208750579"/>
    <n v="288.94200900743334"/>
  </r>
  <r>
    <s v="PBOR00718"/>
    <x v="2"/>
    <x v="32"/>
    <s v="Large Paneer Tikka Pizzabun"/>
    <x v="1"/>
    <n v="250"/>
    <s v="Roch Cousineau"/>
    <n v="1"/>
    <n v="0.34675992552791368"/>
    <n v="163.31001861802159"/>
  </r>
  <r>
    <s v="PBOR00719"/>
    <x v="3"/>
    <x v="33"/>
    <s v="Medium Crispy Chole Pizzabun"/>
    <x v="0"/>
    <n v="130"/>
    <s v="Adrien Martin"/>
    <n v="2"/>
    <n v="0.46799100702226726"/>
    <n v="138.3223381742105"/>
  </r>
  <r>
    <s v="PBOR00720"/>
    <x v="0"/>
    <x v="49"/>
    <s v="Paneer Tikka Pizzabun"/>
    <x v="0"/>
    <n v="72"/>
    <s v="Albain Forestier"/>
    <n v="12"/>
    <n v="0.89600210027593929"/>
    <n v="89.854185361588449"/>
  </r>
  <r>
    <s v="PBOR00721"/>
    <x v="1"/>
    <x v="33"/>
    <s v="Crispy Chole Pizzabun"/>
    <x v="0"/>
    <n v="65"/>
    <s v="Roch Cousineau"/>
    <n v="9"/>
    <n v="0.59686544454690915"/>
    <n v="235.83371494005814"/>
  </r>
  <r>
    <s v="PBOR00722"/>
    <x v="2"/>
    <x v="79"/>
    <s v="Large Paneer Tikka Pizzabun"/>
    <x v="0"/>
    <n v="250"/>
    <s v="Adrien Martin"/>
    <n v="2"/>
    <n v="0.57678842584727197"/>
    <n v="211.60578707636401"/>
  </r>
  <r>
    <s v="PBOR00723"/>
    <x v="3"/>
    <x v="82"/>
    <s v="Medium Crispy Chole Pizzabun"/>
    <x v="0"/>
    <n v="130"/>
    <s v="Albain Forestier"/>
    <n v="2"/>
    <n v="0.97466479606861101"/>
    <n v="6.5871530221611385"/>
  </r>
  <r>
    <s v="PBOR00724"/>
    <x v="4"/>
    <x v="42"/>
    <s v="Minty Pizzabun"/>
    <x v="1"/>
    <n v="60"/>
    <s v="Roch Cousineau"/>
    <n v="12"/>
    <n v="0.8493323075392879"/>
    <n v="108.48073857171271"/>
  </r>
  <r>
    <s v="PBOR00725"/>
    <x v="5"/>
    <x v="58"/>
    <s v="Aloo Shots Pizzabun"/>
    <x v="0"/>
    <n v="95"/>
    <s v="Adrien Martin"/>
    <n v="5"/>
    <n v="5.1263556963580204E-2"/>
    <n v="450.64981044229938"/>
  </r>
  <r>
    <s v="PBOR00726"/>
    <x v="0"/>
    <x v="63"/>
    <s v="Paneer Tikka Pizzabun"/>
    <x v="0"/>
    <n v="72"/>
    <s v="Albain Forestier"/>
    <n v="8"/>
    <n v="0.14136194646448819"/>
    <n v="494.57551883645482"/>
  </r>
  <r>
    <s v="PBOR00727"/>
    <x v="1"/>
    <x v="72"/>
    <s v="Crispy Chole Pizzabun"/>
    <x v="0"/>
    <n v="65"/>
    <s v="Roch Cousineau"/>
    <n v="4"/>
    <n v="0.90727518584499678"/>
    <n v="24.108451680300838"/>
  </r>
  <r>
    <s v="PBOR00728"/>
    <x v="2"/>
    <x v="79"/>
    <s v="Large Paneer Tikka Pizzabun"/>
    <x v="1"/>
    <n v="250"/>
    <s v="Adrien Martin"/>
    <n v="2"/>
    <n v="6.0004540415992347E-2"/>
    <n v="469.99772979200384"/>
  </r>
  <r>
    <s v="PBOR00729"/>
    <x v="3"/>
    <x v="17"/>
    <s v="Medium Crispy Chole Pizzabun"/>
    <x v="1"/>
    <n v="130"/>
    <s v="Albain Forestier"/>
    <n v="4"/>
    <n v="0.81724671976137842"/>
    <n v="95.031705724083224"/>
  </r>
  <r>
    <s v="PBOR00730"/>
    <x v="0"/>
    <x v="52"/>
    <s v="Paneer Tikka Pizzabun"/>
    <x v="1"/>
    <n v="72"/>
    <s v="Roch Cousineau"/>
    <n v="5"/>
    <n v="0.29738851631710195"/>
    <n v="252.94013412584329"/>
  </r>
  <r>
    <s v="PBOR00731"/>
    <x v="1"/>
    <x v="74"/>
    <s v="Crispy Chole Pizzabun"/>
    <x v="1"/>
    <n v="65"/>
    <s v="Adrien Martin"/>
    <n v="10"/>
    <n v="0.25182079206525476"/>
    <n v="486.3164851575844"/>
  </r>
  <r>
    <s v="PBOR00732"/>
    <x v="2"/>
    <x v="75"/>
    <s v="Large Paneer Tikka Pizzabun"/>
    <x v="1"/>
    <n v="250"/>
    <s v="Albain Forestier"/>
    <n v="2"/>
    <n v="0.15932693922943497"/>
    <n v="420.33653038528251"/>
  </r>
  <r>
    <s v="PBOR00733"/>
    <x v="3"/>
    <x v="57"/>
    <s v="Medium Crispy Chole Pizzabun"/>
    <x v="1"/>
    <n v="130"/>
    <s v="Roch Cousineau"/>
    <n v="3"/>
    <n v="0.64279475189126811"/>
    <n v="139.31004676240545"/>
  </r>
  <r>
    <s v="PBOR00734"/>
    <x v="0"/>
    <x v="38"/>
    <s v="Paneer Tikka Pizzabun"/>
    <x v="1"/>
    <n v="72"/>
    <s v="Roch Cousineau"/>
    <n v="9"/>
    <n v="0.30509676922416773"/>
    <n v="450.29729354273934"/>
  </r>
  <r>
    <s v="PBOR00735"/>
    <x v="1"/>
    <x v="53"/>
    <s v="Crispy Chole Pizzabun"/>
    <x v="0"/>
    <n v="65"/>
    <s v="Adrien Martin"/>
    <n v="11"/>
    <n v="0.24730612048446365"/>
    <n v="538.17612385360849"/>
  </r>
  <r>
    <s v="PBOR00736"/>
    <x v="2"/>
    <x v="78"/>
    <s v="Large Paneer Tikka Pizzabun"/>
    <x v="0"/>
    <n v="250"/>
    <s v="Albain Forestier"/>
    <n v="1"/>
    <n v="0.67835764238306229"/>
    <n v="80.410589404234429"/>
  </r>
  <r>
    <s v="PBOR00737"/>
    <x v="3"/>
    <x v="82"/>
    <s v="Medium Crispy Chole Pizzabun"/>
    <x v="0"/>
    <n v="130"/>
    <s v="Roch Cousineau"/>
    <n v="5"/>
    <n v="5.7799038929125079E-2"/>
    <n v="612.43062469606866"/>
  </r>
  <r>
    <s v="PBOR00738"/>
    <x v="0"/>
    <x v="61"/>
    <s v="Paneer Tikka Pizzabun"/>
    <x v="1"/>
    <n v="72"/>
    <s v="Adrien Martin"/>
    <n v="11"/>
    <n v="0.58124880628753917"/>
    <n v="331.65094542026895"/>
  </r>
  <r>
    <s v="PBOR00739"/>
    <x v="1"/>
    <x v="21"/>
    <s v="Crispy Chole Pizzabun"/>
    <x v="1"/>
    <n v="65"/>
    <s v="Albain Forestier"/>
    <n v="10"/>
    <n v="0.51403966650107535"/>
    <n v="315.87421677430103"/>
  </r>
  <r>
    <s v="PBOR00740"/>
    <x v="2"/>
    <x v="32"/>
    <s v="Large Paneer Tikka Pizzabun"/>
    <x v="1"/>
    <n v="250"/>
    <s v="Roch Cousineau"/>
    <n v="2"/>
    <n v="0.88675098518584583"/>
    <n v="56.624507407077083"/>
  </r>
  <r>
    <s v="PBOR00741"/>
    <x v="3"/>
    <x v="54"/>
    <s v="Medium Crispy Chole Pizzabun"/>
    <x v="1"/>
    <n v="130"/>
    <s v="Adrien Martin"/>
    <n v="4"/>
    <n v="0.2010272262263032"/>
    <n v="415.46584236232235"/>
  </r>
  <r>
    <s v="PBOR00742"/>
    <x v="4"/>
    <x v="70"/>
    <s v="Minty Pizzabun"/>
    <x v="1"/>
    <n v="60"/>
    <s v="Albain Forestier"/>
    <n v="4"/>
    <n v="0.17779913925037028"/>
    <n v="197.32820657991113"/>
  </r>
  <r>
    <s v="PBOR00743"/>
    <x v="0"/>
    <x v="30"/>
    <s v="Paneer Tikka Pizzabun"/>
    <x v="1"/>
    <n v="72"/>
    <s v="Roch Cousineau"/>
    <n v="12"/>
    <n v="0.56431699231813615"/>
    <n v="376.43011863713036"/>
  </r>
  <r>
    <s v="PBOR00744"/>
    <x v="1"/>
    <x v="71"/>
    <s v="Crispy Chole Pizzabun"/>
    <x v="1"/>
    <n v="65"/>
    <s v="Adrien Martin"/>
    <n v="5"/>
    <n v="0.22997756760257193"/>
    <n v="250.25729052916412"/>
  </r>
  <r>
    <s v="PBOR00745"/>
    <x v="2"/>
    <x v="82"/>
    <s v="Large Paneer Tikka Pizzabun"/>
    <x v="0"/>
    <n v="250"/>
    <s v="Albain Forestier"/>
    <n v="3"/>
    <n v="0.71236526802400191"/>
    <n v="215.72604898199856"/>
  </r>
  <r>
    <s v="PBOR00746"/>
    <x v="3"/>
    <x v="67"/>
    <s v="Medium Crispy Chole Pizzabun"/>
    <x v="0"/>
    <n v="130"/>
    <s v="Roch Cousineau"/>
    <n v="2"/>
    <n v="0.76580305195704146"/>
    <n v="60.891206491169221"/>
  </r>
  <r>
    <s v="PBOR00747"/>
    <x v="0"/>
    <x v="43"/>
    <s v="Paneer Tikka Pizzabun"/>
    <x v="0"/>
    <n v="72"/>
    <s v="Adrien Martin"/>
    <n v="7"/>
    <n v="0.83335526785590386"/>
    <n v="83.988945000624454"/>
  </r>
  <r>
    <s v="PBOR00748"/>
    <x v="1"/>
    <x v="52"/>
    <s v="Crispy Chole Pizzabun"/>
    <x v="1"/>
    <n v="65"/>
    <s v="Albain Forestier"/>
    <n v="12"/>
    <n v="0.29158518452971938"/>
    <n v="552.56355606681893"/>
  </r>
  <r>
    <s v="PBOR00749"/>
    <x v="2"/>
    <x v="41"/>
    <s v="Large Paneer Tikka Pizzabun"/>
    <x v="1"/>
    <n v="250"/>
    <s v="Roch Cousineau"/>
    <n v="3"/>
    <n v="0.8827239482490834"/>
    <n v="87.957038813187452"/>
  </r>
  <r>
    <s v="PBOR00750"/>
    <x v="3"/>
    <x v="63"/>
    <s v="Medium Crispy Chole Pizzabun"/>
    <x v="1"/>
    <n v="130"/>
    <s v="Adrien Martin"/>
    <n v="4"/>
    <n v="0.72203003841676394"/>
    <n v="144.54438002328274"/>
  </r>
  <r>
    <s v="PBOR00751"/>
    <x v="4"/>
    <x v="63"/>
    <s v="Minty Pizzabun"/>
    <x v="1"/>
    <n v="60"/>
    <s v="Albain Forestier"/>
    <n v="8"/>
    <n v="0.7554826309964624"/>
    <n v="117.36833712169805"/>
  </r>
  <r>
    <s v="PBOR00752"/>
    <x v="5"/>
    <x v="74"/>
    <s v="Aloo Shots Pizzabun"/>
    <x v="1"/>
    <n v="95"/>
    <s v="Roch Cousineau"/>
    <n v="3"/>
    <n v="0.44235844367254096"/>
    <n v="158.92784355332583"/>
  </r>
  <r>
    <s v="PBOR00753"/>
    <x v="0"/>
    <x v="80"/>
    <s v="Paneer Tikka Pizzabun"/>
    <x v="1"/>
    <n v="72"/>
    <s v="Adrien Martin"/>
    <n v="8"/>
    <n v="0.36378830840093845"/>
    <n v="366.45793436105947"/>
  </r>
  <r>
    <s v="PBOR00754"/>
    <x v="1"/>
    <x v="37"/>
    <s v="Crispy Chole Pizzabun"/>
    <x v="1"/>
    <n v="65"/>
    <s v="Albain Forestier"/>
    <n v="12"/>
    <n v="0.10924786214338011"/>
    <n v="694.78666752816355"/>
  </r>
  <r>
    <s v="PBOR00755"/>
    <x v="2"/>
    <x v="58"/>
    <s v="Large Paneer Tikka Pizzabun"/>
    <x v="0"/>
    <n v="250"/>
    <s v="Roch Cousineau"/>
    <n v="3"/>
    <n v="0.539558020344171"/>
    <n v="345.33148474187175"/>
  </r>
  <r>
    <s v="PBOR00756"/>
    <x v="3"/>
    <x v="67"/>
    <s v="Medium Crispy Chole Pizzabun"/>
    <x v="0"/>
    <n v="130"/>
    <s v="Adrien Martin"/>
    <n v="4"/>
    <n v="0.55192063805591307"/>
    <n v="233.00126821092519"/>
  </r>
  <r>
    <s v="PBOR00757"/>
    <x v="0"/>
    <x v="45"/>
    <s v="Paneer Tikka Pizzabun"/>
    <x v="0"/>
    <n v="72"/>
    <s v="Albain Forestier"/>
    <n v="11"/>
    <n v="0.68538170490670036"/>
    <n v="249.1776897138933"/>
  </r>
  <r>
    <s v="PBOR00758"/>
    <x v="1"/>
    <x v="77"/>
    <s v="Crispy Chole Pizzabun"/>
    <x v="1"/>
    <n v="65"/>
    <s v="Roch Cousineau"/>
    <n v="9"/>
    <n v="0.88905910275943245"/>
    <n v="64.900424885732022"/>
  </r>
  <r>
    <s v="PBOR00759"/>
    <x v="2"/>
    <x v="39"/>
    <s v="Large Paneer Tikka Pizzabun"/>
    <x v="1"/>
    <n v="250"/>
    <s v="Adrien Martin"/>
    <n v="3"/>
    <n v="0.84281782576720121"/>
    <n v="117.88663067459909"/>
  </r>
  <r>
    <s v="PBOR00760"/>
    <x v="3"/>
    <x v="17"/>
    <s v="Medium Crispy Chole Pizzabun"/>
    <x v="1"/>
    <n v="130"/>
    <s v="Albain Forestier"/>
    <n v="3"/>
    <n v="0.37450132321898388"/>
    <n v="243.94448394459627"/>
  </r>
  <r>
    <s v="PBOR00761"/>
    <x v="4"/>
    <x v="74"/>
    <s v="Minty Pizzabun"/>
    <x v="1"/>
    <n v="60"/>
    <s v="Roch Cousineau"/>
    <n v="13"/>
    <n v="1.6687760157800269E-2"/>
    <n v="766.98354707691578"/>
  </r>
  <r>
    <s v="PBOR00762"/>
    <x v="0"/>
    <x v="26"/>
    <s v="Paneer Tikka Pizzabun"/>
    <x v="1"/>
    <n v="72"/>
    <s v="Adrien Martin"/>
    <n v="12"/>
    <n v="0.62383704368457615"/>
    <n v="325.00479425652622"/>
  </r>
  <r>
    <s v="PBOR00763"/>
    <x v="1"/>
    <x v="48"/>
    <s v="Crispy Chole Pizzabun"/>
    <x v="1"/>
    <n v="65"/>
    <s v="Albain Forestier"/>
    <n v="5"/>
    <n v="0.48319514305942901"/>
    <n v="167.96157850568557"/>
  </r>
  <r>
    <s v="PBOR00764"/>
    <x v="2"/>
    <x v="58"/>
    <s v="Large Paneer Tikka Pizzabun"/>
    <x v="0"/>
    <n v="250"/>
    <s v="Roch Cousineau"/>
    <n v="3"/>
    <n v="3.0959240526634568E-3"/>
    <n v="747.67805696050243"/>
  </r>
  <r>
    <s v="PBOR00765"/>
    <x v="3"/>
    <x v="74"/>
    <s v="Medium Crispy Chole Pizzabun"/>
    <x v="1"/>
    <n v="130"/>
    <s v="Adrien Martin"/>
    <n v="5"/>
    <n v="0.25256514105797945"/>
    <n v="485.83265831231336"/>
  </r>
  <r>
    <s v="PBOR00766"/>
    <x v="0"/>
    <x v="50"/>
    <s v="Paneer Tikka Pizzabun"/>
    <x v="0"/>
    <n v="72"/>
    <s v="Albain Forestier"/>
    <n v="8"/>
    <n v="2.5477772400712806E-2"/>
    <n v="561.32480309718937"/>
  </r>
  <r>
    <s v="PBOR00767"/>
    <x v="1"/>
    <x v="49"/>
    <s v="Crispy Chole Pizzabun"/>
    <x v="1"/>
    <n v="65"/>
    <s v="Roch Cousineau"/>
    <n v="4"/>
    <n v="0.55693657703429433"/>
    <n v="115.19648997108348"/>
  </r>
  <r>
    <s v="PBOR00768"/>
    <x v="2"/>
    <x v="46"/>
    <s v="Large Paneer Tikka Pizzabun"/>
    <x v="0"/>
    <n v="250"/>
    <s v="Adrien Martin"/>
    <n v="3"/>
    <n v="0.39795060971692398"/>
    <n v="451.53704271230703"/>
  </r>
  <r>
    <s v="PBOR00769"/>
    <x v="3"/>
    <x v="38"/>
    <s v="Medium Crispy Chole Pizzabun"/>
    <x v="1"/>
    <n v="130"/>
    <s v="Albain Forestier"/>
    <n v="7"/>
    <n v="0.90326775111386925"/>
    <n v="88.026346486378984"/>
  </r>
  <r>
    <s v="PBOR00770"/>
    <x v="4"/>
    <x v="80"/>
    <s v="Minty Pizzabun"/>
    <x v="0"/>
    <n v="60"/>
    <s v="Roch Cousineau"/>
    <n v="7"/>
    <n v="0.89551701070887924"/>
    <n v="43.882855502270722"/>
  </r>
  <r>
    <s v="PBOR00771"/>
    <x v="5"/>
    <x v="42"/>
    <s v="Aloo Shots Pizzabun"/>
    <x v="1"/>
    <n v="95"/>
    <s v="Adrien Martin"/>
    <n v="7"/>
    <n v="0.74221033075524334"/>
    <n v="171.43013004776319"/>
  </r>
  <r>
    <s v="PBOR00772"/>
    <x v="0"/>
    <x v="79"/>
    <s v="Paneer Tikka Pizzabun"/>
    <x v="0"/>
    <n v="72"/>
    <s v="Albain Forestier"/>
    <n v="5"/>
    <n v="0.47698420956375531"/>
    <n v="188.28568455704809"/>
  </r>
  <r>
    <s v="PBOR00773"/>
    <x v="1"/>
    <x v="46"/>
    <s v="Crispy Chole Pizzabun"/>
    <x v="1"/>
    <n v="65"/>
    <s v="Roch Cousineau"/>
    <n v="6"/>
    <n v="0.82310389171159759"/>
    <n v="68.989482232476945"/>
  </r>
  <r>
    <s v="PBOR00774"/>
    <x v="2"/>
    <x v="42"/>
    <s v="Large Paneer Tikka Pizzabun"/>
    <x v="0"/>
    <n v="250"/>
    <s v="Adrien Martin"/>
    <n v="2"/>
    <n v="0.15103599699488279"/>
    <n v="424.4820015025586"/>
  </r>
  <r>
    <s v="PBOR00775"/>
    <x v="3"/>
    <x v="47"/>
    <s v="Medium Crispy Chole Pizzabun"/>
    <x v="1"/>
    <n v="130"/>
    <s v="Albain Forestier"/>
    <n v="2"/>
    <n v="6.9465177537392897E-2"/>
    <n v="241.93905384027784"/>
  </r>
  <r>
    <s v="PBOR00776"/>
    <x v="0"/>
    <x v="47"/>
    <s v="Paneer Tikka Pizzabun"/>
    <x v="0"/>
    <n v="72"/>
    <s v="Roch Cousineau"/>
    <n v="4"/>
    <n v="0.78076699175568964"/>
    <n v="63.139106374361383"/>
  </r>
  <r>
    <s v="PBOR00777"/>
    <x v="1"/>
    <x v="19"/>
    <s v="Crispy Chole Pizzabun"/>
    <x v="1"/>
    <n v="65"/>
    <s v="Adrien Martin"/>
    <n v="10"/>
    <n v="0.79274842101435972"/>
    <n v="134.71352634066619"/>
  </r>
  <r>
    <s v="PBOR00778"/>
    <x v="2"/>
    <x v="80"/>
    <s v="Large Paneer Tikka Pizzabun"/>
    <x v="0"/>
    <n v="250"/>
    <s v="Albain Forestier"/>
    <n v="1"/>
    <n v="0.60580277876908717"/>
    <n v="98.549305307728204"/>
  </r>
  <r>
    <s v="PBOR00779"/>
    <x v="3"/>
    <x v="54"/>
    <s v="Paneer Tikka Pizzabun"/>
    <x v="1"/>
    <n v="72"/>
    <s v="Roch Cousineau"/>
    <n v="12"/>
    <n v="0.46719108720143421"/>
    <n v="460.34690065796087"/>
  </r>
  <r>
    <s v="PBOR00780"/>
    <x v="0"/>
    <x v="43"/>
    <s v="Crispy Chole Pizzabun"/>
    <x v="0"/>
    <n v="65"/>
    <s v="Roch Cousineau"/>
    <n v="11"/>
    <n v="0.32043934829965581"/>
    <n v="485.88586596574612"/>
  </r>
  <r>
    <s v="PBOR00781"/>
    <x v="1"/>
    <x v="81"/>
    <s v="Large Paneer Tikka Pizzabun"/>
    <x v="1"/>
    <n v="250"/>
    <s v="Adrien Martin"/>
    <n v="2"/>
    <n v="0.67101613074638267"/>
    <n v="164.49193462680867"/>
  </r>
  <r>
    <s v="PBOR00782"/>
    <x v="2"/>
    <x v="48"/>
    <s v="Medium Crispy Chole Pizzabun"/>
    <x v="1"/>
    <n v="130"/>
    <s v="Albain Forestier"/>
    <n v="7"/>
    <n v="0.97331864206394114"/>
    <n v="24.280035721813562"/>
  </r>
  <r>
    <s v="PBOR00783"/>
    <x v="3"/>
    <x v="37"/>
    <s v="Paneer Tikka Pizzabun"/>
    <x v="1"/>
    <n v="72"/>
    <s v="Roch Cousineau"/>
    <n v="6"/>
    <n v="0.41630673768414495"/>
    <n v="252.15548932044939"/>
  </r>
  <r>
    <s v="PBOR00784"/>
    <x v="0"/>
    <x v="66"/>
    <s v="Crispy Chole Pizzabun"/>
    <x v="1"/>
    <n v="65"/>
    <s v="Adrien Martin"/>
    <n v="4"/>
    <n v="0.93666856990625225"/>
    <n v="16.466171824374417"/>
  </r>
  <r>
    <s v="PBOR00785"/>
    <x v="1"/>
    <x v="63"/>
    <s v="Large Paneer Tikka Pizzabun"/>
    <x v="1"/>
    <n v="250"/>
    <s v="Albain Forestier"/>
    <n v="2"/>
    <n v="0.73079298634774448"/>
    <n v="134.60350682612776"/>
  </r>
  <r>
    <s v="PBOR00786"/>
    <x v="2"/>
    <x v="39"/>
    <s v="Medium Crispy Chole Pizzabun"/>
    <x v="0"/>
    <n v="130"/>
    <s v="Roch Cousineau"/>
    <n v="4"/>
    <n v="0.29888475197037767"/>
    <n v="364.57992897540362"/>
  </r>
  <r>
    <s v="PBOR00787"/>
    <x v="3"/>
    <x v="42"/>
    <s v="Minty Pizzabun"/>
    <x v="1"/>
    <n v="60"/>
    <s v="Adrien Martin"/>
    <n v="8"/>
    <n v="0.91253404707074082"/>
    <n v="41.983657406044408"/>
  </r>
  <r>
    <s v="PBOR00788"/>
    <x v="4"/>
    <x v="30"/>
    <s v="Paneer Tikka Pizzabun"/>
    <x v="0"/>
    <n v="72"/>
    <s v="Albain Forestier"/>
    <n v="4"/>
    <n v="0.57669872424085933"/>
    <n v="121.91076741863252"/>
  </r>
  <r>
    <s v="PBOR00789"/>
    <x v="0"/>
    <x v="66"/>
    <s v="Crispy Chole Pizzabun"/>
    <x v="1"/>
    <n v="65"/>
    <s v="Roch Cousineau"/>
    <n v="5"/>
    <n v="0.81820425317196166"/>
    <n v="59.083617719112461"/>
  </r>
  <r>
    <s v="PBOR00790"/>
    <x v="1"/>
    <x v="42"/>
    <s v="Large Paneer Tikka Pizzabun"/>
    <x v="0"/>
    <n v="250"/>
    <s v="Adrien Martin"/>
    <n v="3"/>
    <n v="0.765231370933803"/>
    <n v="176.07647179964775"/>
  </r>
  <r>
    <s v="PBOR00791"/>
    <x v="2"/>
    <x v="83"/>
    <s v="Medium Crispy Chole Pizzabun"/>
    <x v="1"/>
    <n v="130"/>
    <s v="Albain Forestier"/>
    <n v="4"/>
    <n v="0.611141479444262"/>
    <n v="202.20643068898374"/>
  </r>
  <r>
    <s v="PBOR00792"/>
    <x v="3"/>
    <x v="79"/>
    <s v="Paneer Tikka Pizzabun"/>
    <x v="0"/>
    <n v="72"/>
    <s v="Roch Cousineau"/>
    <n v="5"/>
    <n v="0.25257194401090377"/>
    <n v="269.07410015607462"/>
  </r>
  <r>
    <s v="PBOR00793"/>
    <x v="0"/>
    <x v="70"/>
    <s v="Crispy Chole Pizzabun"/>
    <x v="1"/>
    <n v="65"/>
    <s v="Adrien Martin"/>
    <n v="7"/>
    <n v="0.43671828857109929"/>
    <n v="256.29317870014984"/>
  </r>
  <r>
    <s v="PBOR00794"/>
    <x v="1"/>
    <x v="55"/>
    <s v="Large Paneer Tikka Pizzabun"/>
    <x v="0"/>
    <n v="250"/>
    <s v="Albain Forestier"/>
    <n v="1"/>
    <n v="0.18705251936393663"/>
    <n v="203.23687015901584"/>
  </r>
  <r>
    <s v="PBOR00795"/>
    <x v="2"/>
    <x v="51"/>
    <s v="Medium Crispy Chole Pizzabun"/>
    <x v="1"/>
    <n v="130"/>
    <s v="Roch Cousineau"/>
    <n v="6"/>
    <n v="0.55494978415628204"/>
    <n v="347.13916835809999"/>
  </r>
  <r>
    <s v="PBOR00796"/>
    <x v="3"/>
    <x v="77"/>
    <s v="Minty Pizzabun"/>
    <x v="0"/>
    <n v="60"/>
    <s v="Adrien Martin"/>
    <n v="13"/>
    <n v="0.63410472975275201"/>
    <n v="285.39831079285341"/>
  </r>
  <r>
    <s v="PBOR00797"/>
    <x v="4"/>
    <x v="30"/>
    <s v="Aloo Shots Pizzabun"/>
    <x v="1"/>
    <n v="95"/>
    <s v="Albain Forestier"/>
    <n v="6"/>
    <n v="0.24990464380645816"/>
    <n v="427.55435303031885"/>
  </r>
  <r>
    <s v="PBOR00798"/>
    <x v="5"/>
    <x v="70"/>
    <s v="Paneer Tikka Pizzabun"/>
    <x v="0"/>
    <n v="72"/>
    <s v="Roch Cousineau"/>
    <n v="12"/>
    <n v="0.64597278448938433"/>
    <n v="305.87951420117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D968B3-AC2E-1B41-A608-DB3CA0CB0301}"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96" firstHeaderRow="1" firstDataRow="1" firstDataCol="1" rowPageCount="1" colPageCount="1"/>
  <pivotFields count="12">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pivotField showAll="0"/>
    <pivotField dataField="1" showAll="0"/>
    <pivotField numFmtId="9"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s>
  <rowFields count="2">
    <field x="10"/>
    <field x="2"/>
  </rowFields>
  <rowItems count="82">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i t="grand">
      <x/>
    </i>
  </rowItems>
  <colItems count="1">
    <i/>
  </colItems>
  <pageFields count="1">
    <pageField fld="11" hier="-1"/>
  </pageFields>
  <dataFields count="1">
    <dataField name="Sum of No of Products in one Sale" fld="7" baseField="0" baseItem="0"/>
  </dataFields>
  <chartFormats count="1">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0416F-ACA8-C646-8218-D6C6E9834F7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9" firstHeaderRow="1" firstDataRow="1" firstDataCol="1"/>
  <pivotFields count="12">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pivotField showAll="0"/>
    <pivotField dataField="1" showAll="0"/>
    <pivotField numFmtId="9"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No of Products in one Sale" fld="7"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5484A-D2EF-0B4A-A934-0A54C7C08C37}"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4:E96" firstHeaderRow="1" firstDataRow="1" firstDataCol="1"/>
  <pivotFields count="12">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pivotField showAll="0"/>
    <pivotField showAll="0"/>
    <pivotField numFmtId="9"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0"/>
    <field x="2"/>
  </rowFields>
  <rowItems count="82">
    <i>
      <x v="165"/>
    </i>
    <i>
      <x v="166"/>
    </i>
    <i>
      <x v="167"/>
    </i>
    <i>
      <x v="168"/>
    </i>
    <i>
      <x v="169"/>
    </i>
    <i>
      <x v="170"/>
    </i>
    <i>
      <x v="171"/>
    </i>
    <i>
      <x v="172"/>
    </i>
    <i>
      <x v="173"/>
    </i>
    <i>
      <x v="174"/>
    </i>
    <i>
      <x v="175"/>
    </i>
    <i>
      <x v="176"/>
    </i>
    <i>
      <x v="177"/>
    </i>
    <i>
      <x v="178"/>
    </i>
    <i>
      <x v="179"/>
    </i>
    <i>
      <x v="180"/>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5"/>
    </i>
    <i>
      <x v="246"/>
    </i>
    <i>
      <x v="247"/>
    </i>
    <i>
      <x v="248"/>
    </i>
    <i>
      <x v="249"/>
    </i>
    <i t="grand">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D017EB-BD9C-5B46-8DC6-D5E41816EA5E}"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0" firstHeaderRow="1" firstDataRow="1" firstDataCol="1"/>
  <pivotFields count="12">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h="1" x="1"/>
        <item t="default"/>
      </items>
    </pivotField>
    <pivotField showAll="0"/>
    <pivotField showAll="0"/>
    <pivotField showAll="0"/>
    <pivotField numFmtId="9"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Revenue" fld="9" baseField="0" baseItem="0" numFmtId="1"/>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2AF7957B-EC34-F944-9A32-333DC1833859}" sourceName="Order Type">
  <pivotTables>
    <pivotTable tabId="11" name="PivotTable8"/>
    <pivotTable tabId="11" name="PivotTable10"/>
    <pivotTable tabId="11" name="PivotTable11"/>
    <pivotTable tabId="11" name="PivotTable9"/>
  </pivotTables>
  <data>
    <tabular pivotCacheId="85122695">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FACFDF89-92A3-8540-AFB1-0CC778576E32}" cache="Slicer_Order_Type" caption="Order Type"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J795">
  <tableColumns count="10">
    <tableColumn id="1" xr3:uid="{00000000-0010-0000-0200-000001000000}" name="Order ID"/>
    <tableColumn id="2" xr3:uid="{00000000-0010-0000-0200-000002000000}" name="Product ID"/>
    <tableColumn id="3" xr3:uid="{00000000-0010-0000-0200-000003000000}" name="Sale Date"/>
    <tableColumn id="4" xr3:uid="{00000000-0010-0000-0200-000004000000}" name="Product Name"/>
    <tableColumn id="5" xr3:uid="{00000000-0010-0000-0200-000005000000}" name="Order Type"/>
    <tableColumn id="6" xr3:uid="{00000000-0010-0000-0200-000006000000}" name="Price of One Product"/>
    <tableColumn id="7" xr3:uid="{00000000-0010-0000-0200-000007000000}" name="Agent"/>
    <tableColumn id="8" xr3:uid="{00000000-0010-0000-0200-000008000000}" name="No of Products in one Sale"/>
    <tableColumn id="9" xr3:uid="{00000000-0010-0000-0200-000009000000}" name="Discount"/>
    <tableColumn id="12" xr3:uid="{073D4666-C886-1642-AE49-F7B024D463CF}" name="Revenue" dataDxfId="11">
      <calculatedColumnFormula>Table_3[[#This Row],[Price of One Product]]*Table_3[[#This Row],[No of Products in one Sale]]*(1-Table_3[[#This Row],[Discount]])</calculatedColumnFormula>
    </tableColumn>
  </tableColumns>
  <tableStyleInfo name="Ord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00"/>
  <sheetViews>
    <sheetView zoomScaleNormal="100" workbookViewId="0">
      <selection activeCell="L5" sqref="L5:M8"/>
    </sheetView>
  </sheetViews>
  <sheetFormatPr defaultColWidth="14.42578125" defaultRowHeight="15" customHeight="1"/>
  <cols>
    <col min="1" max="1" width="10.85546875" customWidth="1"/>
    <col min="2" max="2" width="12.28515625" customWidth="1"/>
    <col min="3" max="3" width="11.42578125" customWidth="1"/>
    <col min="4" max="4" width="28.7109375" customWidth="1"/>
    <col min="5" max="5" width="13" customWidth="1"/>
    <col min="6" max="6" width="21.28515625" customWidth="1"/>
    <col min="7" max="7" width="15.28515625" customWidth="1"/>
    <col min="8" max="8" width="26.28515625" customWidth="1"/>
    <col min="9" max="9" width="12.85546875" customWidth="1"/>
    <col min="10" max="11" width="8.7109375" customWidth="1"/>
    <col min="12" max="12" width="14.140625" bestFit="1" customWidth="1"/>
    <col min="13" max="24" width="8.7109375" customWidth="1"/>
  </cols>
  <sheetData>
    <row r="1" spans="1:16" ht="14.25" customHeight="1">
      <c r="A1" s="2" t="s">
        <v>86</v>
      </c>
      <c r="B1" s="2" t="s">
        <v>881</v>
      </c>
      <c r="C1" s="2" t="s">
        <v>882</v>
      </c>
      <c r="D1" s="2" t="s">
        <v>889</v>
      </c>
      <c r="E1" s="2" t="s">
        <v>890</v>
      </c>
      <c r="F1" s="2" t="s">
        <v>891</v>
      </c>
      <c r="G1" s="2" t="s">
        <v>892</v>
      </c>
      <c r="H1" s="2" t="s">
        <v>893</v>
      </c>
      <c r="I1" s="2" t="s">
        <v>894</v>
      </c>
      <c r="J1" s="1" t="s">
        <v>903</v>
      </c>
      <c r="O1" t="s">
        <v>903</v>
      </c>
      <c r="P1" t="s">
        <v>894</v>
      </c>
    </row>
    <row r="2" spans="1:16" ht="14.25" customHeight="1">
      <c r="A2" s="1" t="s">
        <v>87</v>
      </c>
      <c r="B2" s="1" t="s">
        <v>883</v>
      </c>
      <c r="C2" s="3">
        <v>44739</v>
      </c>
      <c r="D2" s="1" t="s">
        <v>895</v>
      </c>
      <c r="E2" s="1" t="s">
        <v>896</v>
      </c>
      <c r="F2" s="1">
        <v>72</v>
      </c>
      <c r="G2" s="1" t="s">
        <v>3</v>
      </c>
      <c r="H2" s="4">
        <v>8</v>
      </c>
      <c r="I2" s="5">
        <v>1.372080123313592E-2</v>
      </c>
      <c r="J2">
        <f>Table_3[[#This Row],[Price of One Product]]*Table_3[[#This Row],[No of Products in one Sale]]*(1-Table_3[[#This Row],[Discount]])</f>
        <v>568.09681848971377</v>
      </c>
      <c r="O2">
        <v>568.09681848971377</v>
      </c>
      <c r="P2">
        <v>1.372080123313592E-2</v>
      </c>
    </row>
    <row r="3" spans="1:16" ht="14.25" customHeight="1">
      <c r="A3" s="1" t="s">
        <v>88</v>
      </c>
      <c r="B3" s="1" t="s">
        <v>884</v>
      </c>
      <c r="C3" s="3">
        <v>44740</v>
      </c>
      <c r="D3" s="1" t="s">
        <v>897</v>
      </c>
      <c r="E3" s="1" t="s">
        <v>898</v>
      </c>
      <c r="F3" s="1">
        <v>65</v>
      </c>
      <c r="G3" s="1" t="s">
        <v>1</v>
      </c>
      <c r="H3" s="4">
        <v>7</v>
      </c>
      <c r="I3" s="5">
        <v>2.2083854314921911E-2</v>
      </c>
      <c r="J3">
        <f>Table_3[[#This Row],[Price of One Product]]*Table_3[[#This Row],[No of Products in one Sale]]*(1-Table_3[[#This Row],[Discount]])</f>
        <v>444.95184628671052</v>
      </c>
      <c r="L3" s="1"/>
      <c r="O3">
        <v>444.95184628671052</v>
      </c>
      <c r="P3">
        <v>2.2083854314921911E-2</v>
      </c>
    </row>
    <row r="4" spans="1:16" ht="14.25" customHeight="1">
      <c r="A4" s="1" t="s">
        <v>89</v>
      </c>
      <c r="B4" s="1" t="s">
        <v>885</v>
      </c>
      <c r="C4" s="3">
        <v>44734</v>
      </c>
      <c r="D4" s="1" t="s">
        <v>899</v>
      </c>
      <c r="E4" s="1" t="s">
        <v>896</v>
      </c>
      <c r="F4" s="1">
        <v>250</v>
      </c>
      <c r="G4" s="1" t="s">
        <v>2</v>
      </c>
      <c r="H4" s="4">
        <v>3</v>
      </c>
      <c r="I4" s="5">
        <v>0.92842323956324613</v>
      </c>
      <c r="J4">
        <f>Table_3[[#This Row],[Price of One Product]]*Table_3[[#This Row],[No of Products in one Sale]]*(1-Table_3[[#This Row],[Discount]])</f>
        <v>53.682570327565401</v>
      </c>
      <c r="L4" s="1"/>
      <c r="O4">
        <v>53.682570327565401</v>
      </c>
      <c r="P4">
        <v>0.92842323956324613</v>
      </c>
    </row>
    <row r="5" spans="1:16" ht="14.25" customHeight="1">
      <c r="A5" s="1" t="s">
        <v>90</v>
      </c>
      <c r="B5" s="1" t="s">
        <v>886</v>
      </c>
      <c r="C5" s="3">
        <v>44737</v>
      </c>
      <c r="D5" s="1" t="s">
        <v>900</v>
      </c>
      <c r="E5" s="1" t="s">
        <v>898</v>
      </c>
      <c r="F5" s="1">
        <v>130</v>
      </c>
      <c r="G5" s="1" t="s">
        <v>3</v>
      </c>
      <c r="H5" s="4">
        <v>5</v>
      </c>
      <c r="I5" s="5">
        <v>0.20990358910221096</v>
      </c>
      <c r="J5">
        <f>Table_3[[#This Row],[Price of One Product]]*Table_3[[#This Row],[No of Products in one Sale]]*(1-Table_3[[#This Row],[Discount]])</f>
        <v>513.56266708356293</v>
      </c>
      <c r="L5" s="1" t="s">
        <v>907</v>
      </c>
      <c r="M5">
        <f>COUNTA(A:A)</f>
        <v>795</v>
      </c>
      <c r="O5">
        <v>513.56266708356293</v>
      </c>
      <c r="P5">
        <v>0.20990358910221096</v>
      </c>
    </row>
    <row r="6" spans="1:16" ht="14.25" customHeight="1">
      <c r="A6" s="1" t="s">
        <v>91</v>
      </c>
      <c r="B6" s="1" t="s">
        <v>883</v>
      </c>
      <c r="C6" s="3">
        <v>44735</v>
      </c>
      <c r="D6" s="1" t="s">
        <v>895</v>
      </c>
      <c r="E6" s="1" t="s">
        <v>896</v>
      </c>
      <c r="F6" s="1">
        <v>72</v>
      </c>
      <c r="G6" s="1" t="s">
        <v>1</v>
      </c>
      <c r="H6" s="4">
        <v>4</v>
      </c>
      <c r="I6" s="5">
        <v>0.184343159134289</v>
      </c>
      <c r="J6">
        <f>Table_3[[#This Row],[Price of One Product]]*Table_3[[#This Row],[No of Products in one Sale]]*(1-Table_3[[#This Row],[Discount]])</f>
        <v>234.90917016932477</v>
      </c>
      <c r="L6" s="1" t="s">
        <v>904</v>
      </c>
      <c r="M6">
        <f>SUM(O2:O795)</f>
        <v>236406.39008288749</v>
      </c>
      <c r="O6">
        <v>234.90917016932477</v>
      </c>
      <c r="P6">
        <v>0.184343159134289</v>
      </c>
    </row>
    <row r="7" spans="1:16" ht="14.25" customHeight="1">
      <c r="A7" s="1" t="s">
        <v>92</v>
      </c>
      <c r="B7" s="1" t="s">
        <v>884</v>
      </c>
      <c r="C7" s="3">
        <v>44727</v>
      </c>
      <c r="D7" s="1" t="s">
        <v>897</v>
      </c>
      <c r="E7" s="1" t="s">
        <v>898</v>
      </c>
      <c r="F7" s="1">
        <v>65</v>
      </c>
      <c r="G7" s="1" t="s">
        <v>2</v>
      </c>
      <c r="H7" s="4">
        <v>8</v>
      </c>
      <c r="I7" s="5">
        <v>0.11144429073382323</v>
      </c>
      <c r="J7">
        <f>Table_3[[#This Row],[Price of One Product]]*Table_3[[#This Row],[No of Products in one Sale]]*(1-Table_3[[#This Row],[Discount]])</f>
        <v>462.04896881841194</v>
      </c>
      <c r="L7" s="1" t="s">
        <v>905</v>
      </c>
      <c r="M7">
        <f>AVERAGE(O2:O795)</f>
        <v>297.7410454444427</v>
      </c>
      <c r="O7">
        <v>462.04896881841194</v>
      </c>
      <c r="P7">
        <v>0.11144429073382323</v>
      </c>
    </row>
    <row r="8" spans="1:16" ht="14.25" customHeight="1">
      <c r="A8" s="1" t="s">
        <v>93</v>
      </c>
      <c r="B8" s="1" t="s">
        <v>885</v>
      </c>
      <c r="C8" s="3">
        <v>44740</v>
      </c>
      <c r="D8" s="1" t="s">
        <v>899</v>
      </c>
      <c r="E8" s="1" t="s">
        <v>896</v>
      </c>
      <c r="F8" s="1">
        <v>250</v>
      </c>
      <c r="G8" s="1" t="s">
        <v>3</v>
      </c>
      <c r="H8" s="4">
        <v>3</v>
      </c>
      <c r="I8" s="5">
        <v>0.56286929186816415</v>
      </c>
      <c r="J8">
        <f>Table_3[[#This Row],[Price of One Product]]*Table_3[[#This Row],[No of Products in one Sale]]*(1-Table_3[[#This Row],[Discount]])</f>
        <v>327.8480310988769</v>
      </c>
      <c r="L8" s="1" t="s">
        <v>906</v>
      </c>
      <c r="M8">
        <f>AVERAGE(P2:P795)</f>
        <v>0.45488455539120404</v>
      </c>
      <c r="O8">
        <v>327.8480310988769</v>
      </c>
      <c r="P8">
        <v>0.56286929186816415</v>
      </c>
    </row>
    <row r="9" spans="1:16" ht="14.25" customHeight="1">
      <c r="A9" s="1" t="s">
        <v>94</v>
      </c>
      <c r="B9" s="1" t="s">
        <v>886</v>
      </c>
      <c r="C9" s="3">
        <v>44725</v>
      </c>
      <c r="D9" s="1" t="s">
        <v>900</v>
      </c>
      <c r="E9" s="1" t="s">
        <v>898</v>
      </c>
      <c r="F9" s="1">
        <v>130</v>
      </c>
      <c r="G9" s="1" t="s">
        <v>1</v>
      </c>
      <c r="H9" s="4">
        <v>6</v>
      </c>
      <c r="I9" s="5">
        <v>3.138956050307417E-2</v>
      </c>
      <c r="J9">
        <f>Table_3[[#This Row],[Price of One Product]]*Table_3[[#This Row],[No of Products in one Sale]]*(1-Table_3[[#This Row],[Discount]])</f>
        <v>755.51614280760214</v>
      </c>
      <c r="O9">
        <v>755.51614280760214</v>
      </c>
      <c r="P9">
        <v>3.138956050307417E-2</v>
      </c>
    </row>
    <row r="10" spans="1:16" ht="14.25" customHeight="1">
      <c r="A10" s="1" t="s">
        <v>95</v>
      </c>
      <c r="B10" s="1" t="s">
        <v>887</v>
      </c>
      <c r="C10" s="3">
        <v>44736</v>
      </c>
      <c r="D10" s="1" t="s">
        <v>901</v>
      </c>
      <c r="E10" s="1" t="s">
        <v>896</v>
      </c>
      <c r="F10" s="1">
        <v>60</v>
      </c>
      <c r="G10" s="1" t="s">
        <v>2</v>
      </c>
      <c r="H10" s="4">
        <v>7</v>
      </c>
      <c r="I10" s="5">
        <v>0.23798278495106248</v>
      </c>
      <c r="J10">
        <f>Table_3[[#This Row],[Price of One Product]]*Table_3[[#This Row],[No of Products in one Sale]]*(1-Table_3[[#This Row],[Discount]])</f>
        <v>320.04723032055375</v>
      </c>
      <c r="O10">
        <v>320.04723032055375</v>
      </c>
      <c r="P10">
        <v>0.23798278495106248</v>
      </c>
    </row>
    <row r="11" spans="1:16" ht="14.25" customHeight="1">
      <c r="A11" s="1" t="s">
        <v>96</v>
      </c>
      <c r="B11" s="1" t="s">
        <v>883</v>
      </c>
      <c r="C11" s="3">
        <v>44725</v>
      </c>
      <c r="D11" s="1" t="s">
        <v>895</v>
      </c>
      <c r="E11" s="1" t="s">
        <v>898</v>
      </c>
      <c r="F11" s="1">
        <v>72</v>
      </c>
      <c r="G11" s="1" t="s">
        <v>3</v>
      </c>
      <c r="H11" s="4">
        <v>9</v>
      </c>
      <c r="I11" s="5">
        <v>0.19712344024473996</v>
      </c>
      <c r="J11">
        <f>Table_3[[#This Row],[Price of One Product]]*Table_3[[#This Row],[No of Products in one Sale]]*(1-Table_3[[#This Row],[Discount]])</f>
        <v>520.26401072140857</v>
      </c>
      <c r="O11">
        <v>520.26401072140857</v>
      </c>
      <c r="P11">
        <v>0.19712344024473996</v>
      </c>
    </row>
    <row r="12" spans="1:16" ht="14.25" customHeight="1">
      <c r="A12" s="1" t="s">
        <v>97</v>
      </c>
      <c r="B12" s="1" t="s">
        <v>884</v>
      </c>
      <c r="C12" s="3">
        <v>44734</v>
      </c>
      <c r="D12" s="1" t="s">
        <v>897</v>
      </c>
      <c r="E12" s="1" t="s">
        <v>896</v>
      </c>
      <c r="F12" s="1">
        <v>65</v>
      </c>
      <c r="G12" s="1" t="s">
        <v>1</v>
      </c>
      <c r="H12" s="4">
        <v>4</v>
      </c>
      <c r="I12" s="5">
        <v>6.8295799738434873E-2</v>
      </c>
      <c r="J12">
        <f>Table_3[[#This Row],[Price of One Product]]*Table_3[[#This Row],[No of Products in one Sale]]*(1-Table_3[[#This Row],[Discount]])</f>
        <v>242.24309206800692</v>
      </c>
      <c r="O12">
        <v>242.24309206800692</v>
      </c>
      <c r="P12">
        <v>6.8295799738434873E-2</v>
      </c>
    </row>
    <row r="13" spans="1:16" ht="14.25" customHeight="1">
      <c r="A13" s="1" t="s">
        <v>98</v>
      </c>
      <c r="B13" s="1" t="s">
        <v>885</v>
      </c>
      <c r="C13" s="3">
        <v>44731</v>
      </c>
      <c r="D13" s="1" t="s">
        <v>899</v>
      </c>
      <c r="E13" s="1" t="s">
        <v>898</v>
      </c>
      <c r="F13" s="1">
        <v>250</v>
      </c>
      <c r="G13" s="1" t="s">
        <v>2</v>
      </c>
      <c r="H13" s="4">
        <v>3</v>
      </c>
      <c r="I13" s="5">
        <v>1.6828522965904168E-2</v>
      </c>
      <c r="J13">
        <f>Table_3[[#This Row],[Price of One Product]]*Table_3[[#This Row],[No of Products in one Sale]]*(1-Table_3[[#This Row],[Discount]])</f>
        <v>737.37860777557182</v>
      </c>
      <c r="O13">
        <v>737.37860777557182</v>
      </c>
      <c r="P13">
        <v>1.6828522965904168E-2</v>
      </c>
    </row>
    <row r="14" spans="1:16" ht="14.25" customHeight="1">
      <c r="A14" s="1" t="s">
        <v>99</v>
      </c>
      <c r="B14" s="1" t="s">
        <v>886</v>
      </c>
      <c r="C14" s="3">
        <v>44730</v>
      </c>
      <c r="D14" s="1" t="s">
        <v>900</v>
      </c>
      <c r="E14" s="1" t="s">
        <v>896</v>
      </c>
      <c r="F14" s="1">
        <v>130</v>
      </c>
      <c r="G14" s="1" t="s">
        <v>3</v>
      </c>
      <c r="H14" s="4">
        <v>5</v>
      </c>
      <c r="I14" s="5">
        <v>0.26661284065553453</v>
      </c>
      <c r="J14">
        <f>Table_3[[#This Row],[Price of One Product]]*Table_3[[#This Row],[No of Products in one Sale]]*(1-Table_3[[#This Row],[Discount]])</f>
        <v>476.70165357390249</v>
      </c>
      <c r="O14">
        <v>476.70165357390249</v>
      </c>
      <c r="P14">
        <v>0.26661284065553453</v>
      </c>
    </row>
    <row r="15" spans="1:16" ht="14.25" customHeight="1">
      <c r="A15" s="1" t="s">
        <v>100</v>
      </c>
      <c r="B15" s="1" t="s">
        <v>883</v>
      </c>
      <c r="C15" s="3">
        <v>44735</v>
      </c>
      <c r="D15" s="1" t="s">
        <v>895</v>
      </c>
      <c r="E15" s="1" t="s">
        <v>898</v>
      </c>
      <c r="F15" s="1">
        <v>72</v>
      </c>
      <c r="G15" s="1" t="s">
        <v>1</v>
      </c>
      <c r="H15" s="4">
        <v>12</v>
      </c>
      <c r="I15" s="5">
        <v>0.21251347110701568</v>
      </c>
      <c r="J15">
        <f>Table_3[[#This Row],[Price of One Product]]*Table_3[[#This Row],[No of Products in one Sale]]*(1-Table_3[[#This Row],[Discount]])</f>
        <v>680.3883609635385</v>
      </c>
      <c r="O15">
        <v>680.3883609635385</v>
      </c>
      <c r="P15">
        <v>0.21251347110701568</v>
      </c>
    </row>
    <row r="16" spans="1:16" ht="14.25" customHeight="1">
      <c r="A16" s="1" t="s">
        <v>101</v>
      </c>
      <c r="B16" s="1" t="s">
        <v>884</v>
      </c>
      <c r="C16" s="3">
        <v>44738</v>
      </c>
      <c r="D16" s="1" t="s">
        <v>897</v>
      </c>
      <c r="E16" s="1" t="s">
        <v>896</v>
      </c>
      <c r="F16" s="1">
        <v>65</v>
      </c>
      <c r="G16" s="1" t="s">
        <v>2</v>
      </c>
      <c r="H16" s="4">
        <v>4</v>
      </c>
      <c r="I16" s="5">
        <v>0.10994257661413849</v>
      </c>
      <c r="J16">
        <f>Table_3[[#This Row],[Price of One Product]]*Table_3[[#This Row],[No of Products in one Sale]]*(1-Table_3[[#This Row],[Discount]])</f>
        <v>231.41493008032398</v>
      </c>
      <c r="O16">
        <v>231.41493008032398</v>
      </c>
      <c r="P16">
        <v>0.10994257661413849</v>
      </c>
    </row>
    <row r="17" spans="1:16" ht="14.25" customHeight="1">
      <c r="A17" s="1" t="s">
        <v>102</v>
      </c>
      <c r="B17" s="1" t="s">
        <v>885</v>
      </c>
      <c r="C17" s="3">
        <v>44738</v>
      </c>
      <c r="D17" s="1" t="s">
        <v>899</v>
      </c>
      <c r="E17" s="1" t="s">
        <v>898</v>
      </c>
      <c r="F17" s="1">
        <v>250</v>
      </c>
      <c r="G17" s="1" t="s">
        <v>3</v>
      </c>
      <c r="H17" s="4">
        <v>3</v>
      </c>
      <c r="I17" s="5">
        <v>0.53607498908607099</v>
      </c>
      <c r="J17">
        <f>Table_3[[#This Row],[Price of One Product]]*Table_3[[#This Row],[No of Products in one Sale]]*(1-Table_3[[#This Row],[Discount]])</f>
        <v>347.94375818544677</v>
      </c>
      <c r="O17">
        <v>347.94375818544677</v>
      </c>
      <c r="P17">
        <v>0.53607498908607099</v>
      </c>
    </row>
    <row r="18" spans="1:16" ht="14.25" customHeight="1">
      <c r="A18" s="1" t="s">
        <v>103</v>
      </c>
      <c r="B18" s="1" t="s">
        <v>886</v>
      </c>
      <c r="C18" s="3">
        <v>44725</v>
      </c>
      <c r="D18" s="1" t="s">
        <v>900</v>
      </c>
      <c r="E18" s="1" t="s">
        <v>896</v>
      </c>
      <c r="F18" s="1">
        <v>130</v>
      </c>
      <c r="G18" s="1" t="s">
        <v>1</v>
      </c>
      <c r="H18" s="4">
        <v>5</v>
      </c>
      <c r="I18" s="5">
        <v>3.7515550327758003E-2</v>
      </c>
      <c r="J18">
        <f>Table_3[[#This Row],[Price of One Product]]*Table_3[[#This Row],[No of Products in one Sale]]*(1-Table_3[[#This Row],[Discount]])</f>
        <v>625.61489228695734</v>
      </c>
      <c r="O18">
        <v>625.61489228695734</v>
      </c>
      <c r="P18">
        <v>3.7515550327758003E-2</v>
      </c>
    </row>
    <row r="19" spans="1:16" ht="14.25" customHeight="1">
      <c r="A19" s="1" t="s">
        <v>104</v>
      </c>
      <c r="B19" s="1" t="s">
        <v>887</v>
      </c>
      <c r="C19" s="3">
        <v>44730</v>
      </c>
      <c r="D19" s="1" t="s">
        <v>901</v>
      </c>
      <c r="E19" s="1" t="s">
        <v>896</v>
      </c>
      <c r="F19" s="1">
        <v>60</v>
      </c>
      <c r="G19" s="1" t="s">
        <v>2</v>
      </c>
      <c r="H19" s="4">
        <v>13</v>
      </c>
      <c r="I19" s="5">
        <v>2.4938289886663061E-2</v>
      </c>
      <c r="J19">
        <f>Table_3[[#This Row],[Price of One Product]]*Table_3[[#This Row],[No of Products in one Sale]]*(1-Table_3[[#This Row],[Discount]])</f>
        <v>760.54813388840284</v>
      </c>
      <c r="O19">
        <v>760.54813388840284</v>
      </c>
      <c r="P19">
        <v>2.4938289886663061E-2</v>
      </c>
    </row>
    <row r="20" spans="1:16" ht="14.25" customHeight="1">
      <c r="A20" s="1" t="s">
        <v>105</v>
      </c>
      <c r="B20" s="1" t="s">
        <v>888</v>
      </c>
      <c r="C20" s="3">
        <v>44738</v>
      </c>
      <c r="D20" s="1" t="s">
        <v>902</v>
      </c>
      <c r="E20" s="1" t="s">
        <v>898</v>
      </c>
      <c r="F20" s="1">
        <v>95</v>
      </c>
      <c r="G20" s="1" t="s">
        <v>3</v>
      </c>
      <c r="H20" s="4">
        <v>5</v>
      </c>
      <c r="I20" s="5">
        <v>1.0123391970414241E-2</v>
      </c>
      <c r="J20">
        <f>Table_3[[#This Row],[Price of One Product]]*Table_3[[#This Row],[No of Products in one Sale]]*(1-Table_3[[#This Row],[Discount]])</f>
        <v>470.19138881405325</v>
      </c>
      <c r="O20">
        <v>470.19138881405325</v>
      </c>
      <c r="P20">
        <v>1.0123391970414241E-2</v>
      </c>
    </row>
    <row r="21" spans="1:16" ht="14.25" customHeight="1">
      <c r="A21" s="1" t="s">
        <v>106</v>
      </c>
      <c r="B21" s="1" t="s">
        <v>883</v>
      </c>
      <c r="C21" s="3">
        <v>44730</v>
      </c>
      <c r="D21" s="1" t="s">
        <v>895</v>
      </c>
      <c r="E21" s="1" t="s">
        <v>898</v>
      </c>
      <c r="F21" s="1">
        <v>72</v>
      </c>
      <c r="G21" s="1" t="s">
        <v>1</v>
      </c>
      <c r="H21" s="4">
        <v>5</v>
      </c>
      <c r="I21" s="5">
        <v>0.1308869366379137</v>
      </c>
      <c r="J21">
        <f>Table_3[[#This Row],[Price of One Product]]*Table_3[[#This Row],[No of Products in one Sale]]*(1-Table_3[[#This Row],[Discount]])</f>
        <v>312.88070281035107</v>
      </c>
      <c r="O21">
        <v>312.88070281035107</v>
      </c>
      <c r="P21">
        <v>0.1308869366379137</v>
      </c>
    </row>
    <row r="22" spans="1:16" ht="14.25" customHeight="1">
      <c r="A22" s="1" t="s">
        <v>107</v>
      </c>
      <c r="B22" s="1" t="s">
        <v>884</v>
      </c>
      <c r="C22" s="3">
        <v>44738</v>
      </c>
      <c r="D22" s="1" t="s">
        <v>897</v>
      </c>
      <c r="E22" s="1" t="s">
        <v>898</v>
      </c>
      <c r="F22" s="1">
        <v>65</v>
      </c>
      <c r="G22" s="1" t="s">
        <v>2</v>
      </c>
      <c r="H22" s="4">
        <v>4</v>
      </c>
      <c r="I22" s="5">
        <v>6.6961969492996459E-2</v>
      </c>
      <c r="J22">
        <f>Table_3[[#This Row],[Price of One Product]]*Table_3[[#This Row],[No of Products in one Sale]]*(1-Table_3[[#This Row],[Discount]])</f>
        <v>242.58988793182093</v>
      </c>
      <c r="O22">
        <v>242.58988793182093</v>
      </c>
      <c r="P22">
        <v>6.6961969492996459E-2</v>
      </c>
    </row>
    <row r="23" spans="1:16" ht="14.25" customHeight="1">
      <c r="A23" s="1" t="s">
        <v>108</v>
      </c>
      <c r="B23" s="1" t="s">
        <v>885</v>
      </c>
      <c r="C23" s="3">
        <v>44734</v>
      </c>
      <c r="D23" s="1" t="s">
        <v>899</v>
      </c>
      <c r="E23" s="1" t="s">
        <v>896</v>
      </c>
      <c r="F23" s="1">
        <v>250</v>
      </c>
      <c r="G23" s="1" t="s">
        <v>3</v>
      </c>
      <c r="H23" s="4">
        <v>3</v>
      </c>
      <c r="I23" s="5">
        <v>0.36350761794645753</v>
      </c>
      <c r="J23">
        <f>Table_3[[#This Row],[Price of One Product]]*Table_3[[#This Row],[No of Products in one Sale]]*(1-Table_3[[#This Row],[Discount]])</f>
        <v>477.36928654015679</v>
      </c>
      <c r="O23">
        <v>477.36928654015679</v>
      </c>
      <c r="P23">
        <v>0.36350761794645753</v>
      </c>
    </row>
    <row r="24" spans="1:16" ht="14.25" customHeight="1">
      <c r="A24" s="1" t="s">
        <v>109</v>
      </c>
      <c r="B24" s="1" t="s">
        <v>886</v>
      </c>
      <c r="C24" s="3">
        <v>44729</v>
      </c>
      <c r="D24" s="1" t="s">
        <v>900</v>
      </c>
      <c r="E24" s="1" t="s">
        <v>896</v>
      </c>
      <c r="F24" s="1">
        <v>130</v>
      </c>
      <c r="G24" s="1" t="s">
        <v>1</v>
      </c>
      <c r="H24" s="4">
        <v>6</v>
      </c>
      <c r="I24" s="5">
        <v>0.30841415491993102</v>
      </c>
      <c r="J24">
        <f>Table_3[[#This Row],[Price of One Product]]*Table_3[[#This Row],[No of Products in one Sale]]*(1-Table_3[[#This Row],[Discount]])</f>
        <v>539.43695916245372</v>
      </c>
      <c r="O24">
        <v>539.43695916245372</v>
      </c>
      <c r="P24">
        <v>0.30841415491993102</v>
      </c>
    </row>
    <row r="25" spans="1:16" ht="14.25" customHeight="1">
      <c r="A25" s="1" t="s">
        <v>110</v>
      </c>
      <c r="B25" s="1" t="s">
        <v>883</v>
      </c>
      <c r="C25" s="3">
        <v>44730</v>
      </c>
      <c r="D25" s="1" t="s">
        <v>895</v>
      </c>
      <c r="E25" s="1" t="s">
        <v>896</v>
      </c>
      <c r="F25" s="1">
        <v>72</v>
      </c>
      <c r="G25" s="1" t="s">
        <v>2</v>
      </c>
      <c r="H25" s="4">
        <v>8</v>
      </c>
      <c r="I25" s="5">
        <v>0.21287301321989574</v>
      </c>
      <c r="J25">
        <f>Table_3[[#This Row],[Price of One Product]]*Table_3[[#This Row],[No of Products in one Sale]]*(1-Table_3[[#This Row],[Discount]])</f>
        <v>453.38514438534008</v>
      </c>
      <c r="O25">
        <v>453.38514438534008</v>
      </c>
      <c r="P25">
        <v>0.21287301321989574</v>
      </c>
    </row>
    <row r="26" spans="1:16" ht="14.25" customHeight="1">
      <c r="A26" s="1" t="s">
        <v>111</v>
      </c>
      <c r="B26" s="1" t="s">
        <v>884</v>
      </c>
      <c r="C26" s="3">
        <v>44728</v>
      </c>
      <c r="D26" s="1" t="s">
        <v>897</v>
      </c>
      <c r="E26" s="1" t="s">
        <v>896</v>
      </c>
      <c r="F26" s="1">
        <v>65</v>
      </c>
      <c r="G26" s="1" t="s">
        <v>3</v>
      </c>
      <c r="H26" s="4">
        <v>5</v>
      </c>
      <c r="I26" s="5">
        <v>0.11047742601795077</v>
      </c>
      <c r="J26">
        <f>Table_3[[#This Row],[Price of One Product]]*Table_3[[#This Row],[No of Products in one Sale]]*(1-Table_3[[#This Row],[Discount]])</f>
        <v>289.09483654416601</v>
      </c>
      <c r="O26">
        <v>289.09483654416601</v>
      </c>
      <c r="P26">
        <v>0.11047742601795077</v>
      </c>
    </row>
    <row r="27" spans="1:16" ht="14.25" customHeight="1">
      <c r="A27" s="1" t="s">
        <v>112</v>
      </c>
      <c r="B27" s="1" t="s">
        <v>885</v>
      </c>
      <c r="C27" s="3">
        <v>44735</v>
      </c>
      <c r="D27" s="1" t="s">
        <v>899</v>
      </c>
      <c r="E27" s="1" t="s">
        <v>896</v>
      </c>
      <c r="F27" s="1">
        <v>250</v>
      </c>
      <c r="G27" s="1" t="s">
        <v>1</v>
      </c>
      <c r="H27" s="4">
        <v>2</v>
      </c>
      <c r="I27" s="5">
        <v>4.8799156151631218E-2</v>
      </c>
      <c r="J27">
        <f>Table_3[[#This Row],[Price of One Product]]*Table_3[[#This Row],[No of Products in one Sale]]*(1-Table_3[[#This Row],[Discount]])</f>
        <v>475.60042192418439</v>
      </c>
      <c r="O27">
        <v>475.60042192418439</v>
      </c>
      <c r="P27">
        <v>4.8799156151631218E-2</v>
      </c>
    </row>
    <row r="28" spans="1:16" ht="14.25" customHeight="1">
      <c r="A28" s="1" t="s">
        <v>113</v>
      </c>
      <c r="B28" s="1" t="s">
        <v>886</v>
      </c>
      <c r="C28" s="3">
        <v>44738</v>
      </c>
      <c r="D28" s="1" t="s">
        <v>900</v>
      </c>
      <c r="E28" s="1" t="s">
        <v>896</v>
      </c>
      <c r="F28" s="1">
        <v>130</v>
      </c>
      <c r="G28" s="1" t="s">
        <v>2</v>
      </c>
      <c r="H28" s="4">
        <v>3</v>
      </c>
      <c r="I28" s="5">
        <v>0.27879506176921365</v>
      </c>
      <c r="J28">
        <f>Table_3[[#This Row],[Price of One Product]]*Table_3[[#This Row],[No of Products in one Sale]]*(1-Table_3[[#This Row],[Discount]])</f>
        <v>281.26992591000669</v>
      </c>
      <c r="O28">
        <v>281.26992591000669</v>
      </c>
      <c r="P28">
        <v>0.27879506176921365</v>
      </c>
    </row>
    <row r="29" spans="1:16" ht="14.25" customHeight="1">
      <c r="A29" s="1" t="s">
        <v>114</v>
      </c>
      <c r="B29" s="1" t="s">
        <v>887</v>
      </c>
      <c r="C29" s="3">
        <v>44738</v>
      </c>
      <c r="D29" s="1" t="s">
        <v>901</v>
      </c>
      <c r="E29" s="1" t="s">
        <v>896</v>
      </c>
      <c r="F29" s="1">
        <v>60</v>
      </c>
      <c r="G29" s="1" t="s">
        <v>3</v>
      </c>
      <c r="H29" s="4">
        <v>14</v>
      </c>
      <c r="I29" s="5">
        <v>7.6045534046593019E-2</v>
      </c>
      <c r="J29">
        <f>Table_3[[#This Row],[Price of One Product]]*Table_3[[#This Row],[No of Products in one Sale]]*(1-Table_3[[#This Row],[Discount]])</f>
        <v>776.12175140086185</v>
      </c>
      <c r="O29">
        <v>776.12175140086185</v>
      </c>
      <c r="P29">
        <v>7.6045534046593019E-2</v>
      </c>
    </row>
    <row r="30" spans="1:16" ht="14.25" customHeight="1">
      <c r="A30" s="1" t="s">
        <v>115</v>
      </c>
      <c r="B30" s="1" t="s">
        <v>883</v>
      </c>
      <c r="C30" s="3">
        <v>44734</v>
      </c>
      <c r="D30" s="1" t="s">
        <v>895</v>
      </c>
      <c r="E30" s="1" t="s">
        <v>896</v>
      </c>
      <c r="F30" s="1">
        <v>72</v>
      </c>
      <c r="G30" s="1" t="s">
        <v>1</v>
      </c>
      <c r="H30" s="4">
        <v>12</v>
      </c>
      <c r="I30" s="5">
        <v>0.12055762754740325</v>
      </c>
      <c r="J30">
        <f>Table_3[[#This Row],[Price of One Product]]*Table_3[[#This Row],[No of Products in one Sale]]*(1-Table_3[[#This Row],[Discount]])</f>
        <v>759.83820979904351</v>
      </c>
      <c r="O30">
        <v>759.83820979904351</v>
      </c>
      <c r="P30">
        <v>0.12055762754740325</v>
      </c>
    </row>
    <row r="31" spans="1:16" ht="14.25" customHeight="1">
      <c r="A31" s="1" t="s">
        <v>116</v>
      </c>
      <c r="B31" s="1" t="s">
        <v>884</v>
      </c>
      <c r="C31" s="3">
        <v>44727</v>
      </c>
      <c r="D31" s="1" t="s">
        <v>897</v>
      </c>
      <c r="E31" s="1" t="s">
        <v>896</v>
      </c>
      <c r="F31" s="1">
        <v>65</v>
      </c>
      <c r="G31" s="1" t="s">
        <v>2</v>
      </c>
      <c r="H31" s="4">
        <v>5</v>
      </c>
      <c r="I31" s="5">
        <v>0.30283946337780637</v>
      </c>
      <c r="J31">
        <f>Table_3[[#This Row],[Price of One Product]]*Table_3[[#This Row],[No of Products in one Sale]]*(1-Table_3[[#This Row],[Discount]])</f>
        <v>226.5771744022129</v>
      </c>
      <c r="O31">
        <v>226.5771744022129</v>
      </c>
      <c r="P31">
        <v>0.30283946337780637</v>
      </c>
    </row>
    <row r="32" spans="1:16" ht="14.25" customHeight="1">
      <c r="A32" s="1" t="s">
        <v>117</v>
      </c>
      <c r="B32" s="1" t="s">
        <v>885</v>
      </c>
      <c r="C32" s="3">
        <v>44729</v>
      </c>
      <c r="D32" s="1" t="s">
        <v>899</v>
      </c>
      <c r="E32" s="1" t="s">
        <v>898</v>
      </c>
      <c r="F32" s="1">
        <v>250</v>
      </c>
      <c r="G32" s="1" t="s">
        <v>3</v>
      </c>
      <c r="H32" s="4">
        <v>1</v>
      </c>
      <c r="I32" s="5">
        <v>0.41401829873258272</v>
      </c>
      <c r="J32">
        <f>Table_3[[#This Row],[Price of One Product]]*Table_3[[#This Row],[No of Products in one Sale]]*(1-Table_3[[#This Row],[Discount]])</f>
        <v>146.49542531685432</v>
      </c>
      <c r="O32">
        <v>146.49542531685432</v>
      </c>
      <c r="P32">
        <v>0.41401829873258272</v>
      </c>
    </row>
    <row r="33" spans="1:16" ht="14.25" customHeight="1">
      <c r="A33" s="1" t="s">
        <v>118</v>
      </c>
      <c r="B33" s="1" t="s">
        <v>886</v>
      </c>
      <c r="C33" s="3">
        <v>44726</v>
      </c>
      <c r="D33" s="1" t="s">
        <v>900</v>
      </c>
      <c r="E33" s="1" t="s">
        <v>896</v>
      </c>
      <c r="F33" s="1">
        <v>130</v>
      </c>
      <c r="G33" s="1" t="s">
        <v>1</v>
      </c>
      <c r="H33" s="4">
        <v>4</v>
      </c>
      <c r="I33" s="5">
        <v>6.1603660271292333E-3</v>
      </c>
      <c r="J33">
        <f>Table_3[[#This Row],[Price of One Product]]*Table_3[[#This Row],[No of Products in one Sale]]*(1-Table_3[[#This Row],[Discount]])</f>
        <v>516.79660966589279</v>
      </c>
      <c r="O33">
        <v>516.79660966589279</v>
      </c>
      <c r="P33">
        <v>6.1603660271292333E-3</v>
      </c>
    </row>
    <row r="34" spans="1:16" ht="14.25" customHeight="1">
      <c r="A34" s="1" t="s">
        <v>119</v>
      </c>
      <c r="B34" s="1" t="s">
        <v>883</v>
      </c>
      <c r="C34" s="3">
        <v>44733</v>
      </c>
      <c r="D34" s="1" t="s">
        <v>895</v>
      </c>
      <c r="E34" s="1" t="s">
        <v>896</v>
      </c>
      <c r="F34" s="1">
        <v>72</v>
      </c>
      <c r="G34" s="1" t="s">
        <v>2</v>
      </c>
      <c r="H34" s="4">
        <v>8</v>
      </c>
      <c r="I34" s="5">
        <v>0.10495963672233184</v>
      </c>
      <c r="J34">
        <f>Table_3[[#This Row],[Price of One Product]]*Table_3[[#This Row],[No of Products in one Sale]]*(1-Table_3[[#This Row],[Discount]])</f>
        <v>515.54324924793684</v>
      </c>
      <c r="O34">
        <v>515.54324924793684</v>
      </c>
      <c r="P34">
        <v>0.10495963672233184</v>
      </c>
    </row>
    <row r="35" spans="1:16" ht="14.25" customHeight="1">
      <c r="A35" s="1" t="s">
        <v>120</v>
      </c>
      <c r="B35" s="1" t="s">
        <v>884</v>
      </c>
      <c r="C35" s="3">
        <v>44730</v>
      </c>
      <c r="D35" s="1" t="s">
        <v>897</v>
      </c>
      <c r="E35" s="1" t="s">
        <v>896</v>
      </c>
      <c r="F35" s="1">
        <v>65</v>
      </c>
      <c r="G35" s="1" t="s">
        <v>3</v>
      </c>
      <c r="H35" s="4">
        <v>12</v>
      </c>
      <c r="I35" s="5">
        <v>0.29377273906475571</v>
      </c>
      <c r="J35">
        <f>Table_3[[#This Row],[Price of One Product]]*Table_3[[#This Row],[No of Products in one Sale]]*(1-Table_3[[#This Row],[Discount]])</f>
        <v>550.85726352949052</v>
      </c>
      <c r="O35">
        <v>550.85726352949052</v>
      </c>
      <c r="P35">
        <v>0.29377273906475571</v>
      </c>
    </row>
    <row r="36" spans="1:16" ht="14.25" customHeight="1">
      <c r="A36" s="1" t="s">
        <v>121</v>
      </c>
      <c r="B36" s="1" t="s">
        <v>885</v>
      </c>
      <c r="C36" s="3">
        <v>44736</v>
      </c>
      <c r="D36" s="1" t="s">
        <v>899</v>
      </c>
      <c r="E36" s="1" t="s">
        <v>896</v>
      </c>
      <c r="F36" s="1">
        <v>250</v>
      </c>
      <c r="G36" s="1" t="s">
        <v>1</v>
      </c>
      <c r="H36" s="4">
        <v>3</v>
      </c>
      <c r="I36" s="5">
        <v>0.56559810101924179</v>
      </c>
      <c r="J36">
        <f>Table_3[[#This Row],[Price of One Product]]*Table_3[[#This Row],[No of Products in one Sale]]*(1-Table_3[[#This Row],[Discount]])</f>
        <v>325.80142423556867</v>
      </c>
      <c r="O36">
        <v>325.80142423556867</v>
      </c>
      <c r="P36">
        <v>0.56559810101924179</v>
      </c>
    </row>
    <row r="37" spans="1:16" ht="14.25" customHeight="1">
      <c r="A37" s="1" t="s">
        <v>122</v>
      </c>
      <c r="B37" s="1" t="s">
        <v>886</v>
      </c>
      <c r="C37" s="3">
        <v>44732</v>
      </c>
      <c r="D37" s="1" t="s">
        <v>900</v>
      </c>
      <c r="E37" s="1" t="s">
        <v>896</v>
      </c>
      <c r="F37" s="1">
        <v>130</v>
      </c>
      <c r="G37" s="1" t="s">
        <v>2</v>
      </c>
      <c r="H37" s="4">
        <v>3</v>
      </c>
      <c r="I37" s="5">
        <v>0.14180367825735268</v>
      </c>
      <c r="J37">
        <f>Table_3[[#This Row],[Price of One Product]]*Table_3[[#This Row],[No of Products in one Sale]]*(1-Table_3[[#This Row],[Discount]])</f>
        <v>334.69656547963245</v>
      </c>
      <c r="O37">
        <v>334.69656547963245</v>
      </c>
      <c r="P37">
        <v>0.14180367825735268</v>
      </c>
    </row>
    <row r="38" spans="1:16" ht="14.25" customHeight="1">
      <c r="A38" s="1" t="s">
        <v>123</v>
      </c>
      <c r="B38" s="1" t="s">
        <v>887</v>
      </c>
      <c r="C38" s="3">
        <v>44732</v>
      </c>
      <c r="D38" s="1" t="s">
        <v>901</v>
      </c>
      <c r="E38" s="1" t="s">
        <v>898</v>
      </c>
      <c r="F38" s="1">
        <v>60</v>
      </c>
      <c r="G38" s="1" t="s">
        <v>3</v>
      </c>
      <c r="H38" s="4">
        <v>11</v>
      </c>
      <c r="I38" s="5">
        <v>0.19727585407121537</v>
      </c>
      <c r="J38">
        <f>Table_3[[#This Row],[Price of One Product]]*Table_3[[#This Row],[No of Products in one Sale]]*(1-Table_3[[#This Row],[Discount]])</f>
        <v>529.79793631299788</v>
      </c>
      <c r="O38">
        <v>529.79793631299788</v>
      </c>
      <c r="P38">
        <v>0.19727585407121537</v>
      </c>
    </row>
    <row r="39" spans="1:16" ht="14.25" customHeight="1">
      <c r="A39" s="1" t="s">
        <v>124</v>
      </c>
      <c r="B39" s="1" t="s">
        <v>888</v>
      </c>
      <c r="C39" s="3">
        <v>44731</v>
      </c>
      <c r="D39" s="1" t="s">
        <v>902</v>
      </c>
      <c r="E39" s="1" t="s">
        <v>896</v>
      </c>
      <c r="F39" s="1">
        <v>95</v>
      </c>
      <c r="G39" s="1" t="s">
        <v>1</v>
      </c>
      <c r="H39" s="4">
        <v>8</v>
      </c>
      <c r="I39" s="5">
        <v>0.16026707373910823</v>
      </c>
      <c r="J39">
        <f>Table_3[[#This Row],[Price of One Product]]*Table_3[[#This Row],[No of Products in one Sale]]*(1-Table_3[[#This Row],[Discount]])</f>
        <v>638.19702395827778</v>
      </c>
      <c r="O39">
        <v>638.19702395827778</v>
      </c>
      <c r="P39">
        <v>0.16026707373910823</v>
      </c>
    </row>
    <row r="40" spans="1:16" ht="14.25" customHeight="1">
      <c r="A40" s="1" t="s">
        <v>125</v>
      </c>
      <c r="B40" s="1" t="s">
        <v>883</v>
      </c>
      <c r="C40" s="3">
        <v>44735</v>
      </c>
      <c r="D40" s="1" t="s">
        <v>895</v>
      </c>
      <c r="E40" s="1" t="s">
        <v>896</v>
      </c>
      <c r="F40" s="1">
        <v>72</v>
      </c>
      <c r="G40" s="1" t="s">
        <v>2</v>
      </c>
      <c r="H40" s="4">
        <v>5</v>
      </c>
      <c r="I40" s="5">
        <v>3.6754234817017679E-2</v>
      </c>
      <c r="J40">
        <f>Table_3[[#This Row],[Price of One Product]]*Table_3[[#This Row],[No of Products in one Sale]]*(1-Table_3[[#This Row],[Discount]])</f>
        <v>346.76847546587362</v>
      </c>
      <c r="O40">
        <v>346.76847546587362</v>
      </c>
      <c r="P40">
        <v>3.6754234817017679E-2</v>
      </c>
    </row>
    <row r="41" spans="1:16" ht="14.25" customHeight="1">
      <c r="A41" s="1" t="s">
        <v>126</v>
      </c>
      <c r="B41" s="1" t="s">
        <v>884</v>
      </c>
      <c r="C41" s="3">
        <v>44728</v>
      </c>
      <c r="D41" s="1" t="s">
        <v>897</v>
      </c>
      <c r="E41" s="1" t="s">
        <v>896</v>
      </c>
      <c r="F41" s="1">
        <v>65</v>
      </c>
      <c r="G41" s="1" t="s">
        <v>3</v>
      </c>
      <c r="H41" s="4">
        <v>6</v>
      </c>
      <c r="I41" s="5">
        <v>0.12047427034169578</v>
      </c>
      <c r="J41">
        <f>Table_3[[#This Row],[Price of One Product]]*Table_3[[#This Row],[No of Products in one Sale]]*(1-Table_3[[#This Row],[Discount]])</f>
        <v>343.01503456673862</v>
      </c>
      <c r="O41">
        <v>343.01503456673862</v>
      </c>
      <c r="P41">
        <v>0.12047427034169578</v>
      </c>
    </row>
    <row r="42" spans="1:16" ht="14.25" customHeight="1">
      <c r="A42" s="1" t="s">
        <v>127</v>
      </c>
      <c r="B42" s="1" t="s">
        <v>885</v>
      </c>
      <c r="C42" s="3">
        <v>44727</v>
      </c>
      <c r="D42" s="1" t="s">
        <v>899</v>
      </c>
      <c r="E42" s="1" t="s">
        <v>898</v>
      </c>
      <c r="F42" s="1">
        <v>250</v>
      </c>
      <c r="G42" s="1" t="s">
        <v>1</v>
      </c>
      <c r="H42" s="4">
        <v>1</v>
      </c>
      <c r="I42" s="5">
        <v>0.38636401364592987</v>
      </c>
      <c r="J42">
        <f>Table_3[[#This Row],[Price of One Product]]*Table_3[[#This Row],[No of Products in one Sale]]*(1-Table_3[[#This Row],[Discount]])</f>
        <v>153.40899658851754</v>
      </c>
      <c r="O42">
        <v>153.40899658851754</v>
      </c>
      <c r="P42">
        <v>0.38636401364592987</v>
      </c>
    </row>
    <row r="43" spans="1:16" ht="14.25" customHeight="1">
      <c r="A43" s="1" t="s">
        <v>128</v>
      </c>
      <c r="B43" s="1" t="s">
        <v>886</v>
      </c>
      <c r="C43" s="3">
        <v>44731</v>
      </c>
      <c r="D43" s="1" t="s">
        <v>900</v>
      </c>
      <c r="E43" s="1" t="s">
        <v>898</v>
      </c>
      <c r="F43" s="1">
        <v>130</v>
      </c>
      <c r="G43" s="1" t="s">
        <v>2</v>
      </c>
      <c r="H43" s="4">
        <v>7</v>
      </c>
      <c r="I43" s="5">
        <v>0.25111930985495906</v>
      </c>
      <c r="J43">
        <f>Table_3[[#This Row],[Price of One Product]]*Table_3[[#This Row],[No of Products in one Sale]]*(1-Table_3[[#This Row],[Discount]])</f>
        <v>681.48142803198721</v>
      </c>
      <c r="O43">
        <v>681.48142803198721</v>
      </c>
      <c r="P43">
        <v>0.25111930985495906</v>
      </c>
    </row>
    <row r="44" spans="1:16" ht="14.25" customHeight="1">
      <c r="A44" s="1" t="s">
        <v>129</v>
      </c>
      <c r="B44" s="1" t="s">
        <v>883</v>
      </c>
      <c r="C44" s="3">
        <v>44732</v>
      </c>
      <c r="D44" s="1" t="s">
        <v>895</v>
      </c>
      <c r="E44" s="1" t="s">
        <v>898</v>
      </c>
      <c r="F44" s="1">
        <v>72</v>
      </c>
      <c r="G44" s="1" t="s">
        <v>3</v>
      </c>
      <c r="H44" s="4">
        <v>7</v>
      </c>
      <c r="I44" s="5">
        <v>0.18099169049889144</v>
      </c>
      <c r="J44">
        <f>Table_3[[#This Row],[Price of One Product]]*Table_3[[#This Row],[No of Products in one Sale]]*(1-Table_3[[#This Row],[Discount]])</f>
        <v>412.78018798855874</v>
      </c>
      <c r="O44">
        <v>412.78018798855874</v>
      </c>
      <c r="P44">
        <v>0.18099169049889144</v>
      </c>
    </row>
    <row r="45" spans="1:16" ht="14.25" customHeight="1">
      <c r="A45" s="1" t="s">
        <v>130</v>
      </c>
      <c r="B45" s="1" t="s">
        <v>884</v>
      </c>
      <c r="C45" s="3">
        <v>44738</v>
      </c>
      <c r="D45" s="1" t="s">
        <v>897</v>
      </c>
      <c r="E45" s="1" t="s">
        <v>898</v>
      </c>
      <c r="F45" s="1">
        <v>65</v>
      </c>
      <c r="G45" s="1" t="s">
        <v>1</v>
      </c>
      <c r="H45" s="4">
        <v>3</v>
      </c>
      <c r="I45" s="5">
        <v>0.17363786365000505</v>
      </c>
      <c r="J45">
        <f>Table_3[[#This Row],[Price of One Product]]*Table_3[[#This Row],[No of Products in one Sale]]*(1-Table_3[[#This Row],[Discount]])</f>
        <v>161.140616588249</v>
      </c>
      <c r="O45">
        <v>161.140616588249</v>
      </c>
      <c r="P45">
        <v>0.17363786365000505</v>
      </c>
    </row>
    <row r="46" spans="1:16" ht="14.25" customHeight="1">
      <c r="A46" s="1" t="s">
        <v>131</v>
      </c>
      <c r="B46" s="1" t="s">
        <v>885</v>
      </c>
      <c r="C46" s="3">
        <v>44730</v>
      </c>
      <c r="D46" s="1" t="s">
        <v>899</v>
      </c>
      <c r="E46" s="1" t="s">
        <v>898</v>
      </c>
      <c r="F46" s="1">
        <v>250</v>
      </c>
      <c r="G46" s="1" t="s">
        <v>2</v>
      </c>
      <c r="H46" s="4">
        <v>1</v>
      </c>
      <c r="I46" s="5">
        <v>0.75489814137474298</v>
      </c>
      <c r="J46">
        <f>Table_3[[#This Row],[Price of One Product]]*Table_3[[#This Row],[No of Products in one Sale]]*(1-Table_3[[#This Row],[Discount]])</f>
        <v>61.275464656314256</v>
      </c>
      <c r="O46">
        <v>61.275464656314256</v>
      </c>
      <c r="P46">
        <v>0.75489814137474298</v>
      </c>
    </row>
    <row r="47" spans="1:16" ht="14.25" customHeight="1">
      <c r="A47" s="1" t="s">
        <v>132</v>
      </c>
      <c r="B47" s="1" t="s">
        <v>886</v>
      </c>
      <c r="C47" s="3">
        <v>44736</v>
      </c>
      <c r="D47" s="1" t="s">
        <v>900</v>
      </c>
      <c r="E47" s="1" t="s">
        <v>898</v>
      </c>
      <c r="F47" s="1">
        <v>130</v>
      </c>
      <c r="G47" s="1" t="s">
        <v>3</v>
      </c>
      <c r="H47" s="4">
        <v>6</v>
      </c>
      <c r="I47" s="5">
        <v>0.41826226246410803</v>
      </c>
      <c r="J47">
        <f>Table_3[[#This Row],[Price of One Product]]*Table_3[[#This Row],[No of Products in one Sale]]*(1-Table_3[[#This Row],[Discount]])</f>
        <v>453.75543527799573</v>
      </c>
      <c r="O47">
        <v>453.75543527799573</v>
      </c>
      <c r="P47">
        <v>0.41826226246410803</v>
      </c>
    </row>
    <row r="48" spans="1:16" ht="14.25" customHeight="1">
      <c r="A48" s="1" t="s">
        <v>133</v>
      </c>
      <c r="B48" s="1" t="s">
        <v>883</v>
      </c>
      <c r="C48" s="3">
        <v>44733</v>
      </c>
      <c r="D48" s="1" t="s">
        <v>895</v>
      </c>
      <c r="E48" s="1" t="s">
        <v>896</v>
      </c>
      <c r="F48" s="1">
        <v>72</v>
      </c>
      <c r="G48" s="1" t="s">
        <v>3</v>
      </c>
      <c r="H48" s="4">
        <v>4</v>
      </c>
      <c r="I48" s="5">
        <v>1.372080123313592E-2</v>
      </c>
      <c r="J48">
        <f>Table_3[[#This Row],[Price of One Product]]*Table_3[[#This Row],[No of Products in one Sale]]*(1-Table_3[[#This Row],[Discount]])</f>
        <v>284.04840924485688</v>
      </c>
      <c r="O48">
        <v>284.04840924485688</v>
      </c>
      <c r="P48">
        <v>1.372080123313592E-2</v>
      </c>
    </row>
    <row r="49" spans="1:16" ht="14.25" customHeight="1">
      <c r="A49" s="1" t="s">
        <v>134</v>
      </c>
      <c r="B49" s="1" t="s">
        <v>884</v>
      </c>
      <c r="C49" s="3">
        <v>44746</v>
      </c>
      <c r="D49" s="1" t="s">
        <v>897</v>
      </c>
      <c r="E49" s="1" t="s">
        <v>898</v>
      </c>
      <c r="F49" s="1">
        <v>65</v>
      </c>
      <c r="G49" s="1" t="s">
        <v>1</v>
      </c>
      <c r="H49" s="4">
        <v>6</v>
      </c>
      <c r="I49" s="5">
        <v>2.2083854314921911E-2</v>
      </c>
      <c r="J49">
        <f>Table_3[[#This Row],[Price of One Product]]*Table_3[[#This Row],[No of Products in one Sale]]*(1-Table_3[[#This Row],[Discount]])</f>
        <v>381.38729681718047</v>
      </c>
      <c r="O49">
        <v>381.38729681718047</v>
      </c>
      <c r="P49">
        <v>2.2083854314921911E-2</v>
      </c>
    </row>
    <row r="50" spans="1:16" ht="14.25" customHeight="1">
      <c r="A50" s="1" t="s">
        <v>135</v>
      </c>
      <c r="B50" s="1" t="s">
        <v>885</v>
      </c>
      <c r="C50" s="3">
        <v>44755</v>
      </c>
      <c r="D50" s="1" t="s">
        <v>899</v>
      </c>
      <c r="E50" s="1" t="s">
        <v>896</v>
      </c>
      <c r="F50" s="1">
        <v>250</v>
      </c>
      <c r="G50" s="1" t="s">
        <v>2</v>
      </c>
      <c r="H50" s="4">
        <v>3</v>
      </c>
      <c r="I50" s="5">
        <v>0.92842323956324613</v>
      </c>
      <c r="J50">
        <f>Table_3[[#This Row],[Price of One Product]]*Table_3[[#This Row],[No of Products in one Sale]]*(1-Table_3[[#This Row],[Discount]])</f>
        <v>53.682570327565401</v>
      </c>
      <c r="O50">
        <v>53.682570327565401</v>
      </c>
      <c r="P50">
        <v>0.92842323956324613</v>
      </c>
    </row>
    <row r="51" spans="1:16" ht="14.25" customHeight="1">
      <c r="A51" s="1" t="s">
        <v>136</v>
      </c>
      <c r="B51" s="1" t="s">
        <v>886</v>
      </c>
      <c r="C51" s="3">
        <v>44755</v>
      </c>
      <c r="D51" s="1" t="s">
        <v>900</v>
      </c>
      <c r="E51" s="1" t="s">
        <v>898</v>
      </c>
      <c r="F51" s="1">
        <v>130</v>
      </c>
      <c r="G51" s="1" t="s">
        <v>3</v>
      </c>
      <c r="H51" s="4">
        <v>2</v>
      </c>
      <c r="I51" s="5">
        <v>0.20990358910221096</v>
      </c>
      <c r="J51">
        <f>Table_3[[#This Row],[Price of One Product]]*Table_3[[#This Row],[No of Products in one Sale]]*(1-Table_3[[#This Row],[Discount]])</f>
        <v>205.42506683342515</v>
      </c>
      <c r="O51">
        <v>205.42506683342515</v>
      </c>
      <c r="P51">
        <v>0.20990358910221096</v>
      </c>
    </row>
    <row r="52" spans="1:16" ht="14.25" customHeight="1">
      <c r="A52" s="1" t="s">
        <v>137</v>
      </c>
      <c r="B52" s="1" t="s">
        <v>883</v>
      </c>
      <c r="C52" s="3">
        <v>44727</v>
      </c>
      <c r="D52" s="1" t="s">
        <v>895</v>
      </c>
      <c r="E52" s="1" t="s">
        <v>896</v>
      </c>
      <c r="F52" s="1">
        <v>72</v>
      </c>
      <c r="G52" s="1" t="s">
        <v>1</v>
      </c>
      <c r="H52" s="4">
        <v>5</v>
      </c>
      <c r="I52" s="5">
        <v>0.184343159134289</v>
      </c>
      <c r="J52">
        <f>Table_3[[#This Row],[Price of One Product]]*Table_3[[#This Row],[No of Products in one Sale]]*(1-Table_3[[#This Row],[Discount]])</f>
        <v>293.63646271165595</v>
      </c>
      <c r="O52">
        <v>293.63646271165595</v>
      </c>
      <c r="P52">
        <v>0.184343159134289</v>
      </c>
    </row>
    <row r="53" spans="1:16" ht="14.25" customHeight="1">
      <c r="A53" s="1" t="s">
        <v>138</v>
      </c>
      <c r="B53" s="1" t="s">
        <v>884</v>
      </c>
      <c r="C53" s="3">
        <v>44746</v>
      </c>
      <c r="D53" s="1" t="s">
        <v>897</v>
      </c>
      <c r="E53" s="1" t="s">
        <v>898</v>
      </c>
      <c r="F53" s="1">
        <v>65</v>
      </c>
      <c r="G53" s="1" t="s">
        <v>2</v>
      </c>
      <c r="H53" s="4">
        <v>8</v>
      </c>
      <c r="I53" s="5">
        <v>0.11144429073382323</v>
      </c>
      <c r="J53">
        <f>Table_3[[#This Row],[Price of One Product]]*Table_3[[#This Row],[No of Products in one Sale]]*(1-Table_3[[#This Row],[Discount]])</f>
        <v>462.04896881841194</v>
      </c>
      <c r="O53">
        <v>462.04896881841194</v>
      </c>
      <c r="P53">
        <v>0.11144429073382323</v>
      </c>
    </row>
    <row r="54" spans="1:16" ht="14.25" customHeight="1">
      <c r="A54" s="1" t="s">
        <v>139</v>
      </c>
      <c r="B54" s="1" t="s">
        <v>885</v>
      </c>
      <c r="C54" s="3">
        <v>44740</v>
      </c>
      <c r="D54" s="1" t="s">
        <v>899</v>
      </c>
      <c r="E54" s="1" t="s">
        <v>896</v>
      </c>
      <c r="F54" s="1">
        <v>250</v>
      </c>
      <c r="G54" s="1" t="s">
        <v>3</v>
      </c>
      <c r="H54" s="4">
        <v>3</v>
      </c>
      <c r="I54" s="5">
        <v>0.56286929186816415</v>
      </c>
      <c r="J54">
        <f>Table_3[[#This Row],[Price of One Product]]*Table_3[[#This Row],[No of Products in one Sale]]*(1-Table_3[[#This Row],[Discount]])</f>
        <v>327.8480310988769</v>
      </c>
      <c r="O54">
        <v>327.8480310988769</v>
      </c>
      <c r="P54">
        <v>0.56286929186816415</v>
      </c>
    </row>
    <row r="55" spans="1:16" ht="14.25" customHeight="1">
      <c r="A55" s="1" t="s">
        <v>140</v>
      </c>
      <c r="B55" s="1" t="s">
        <v>886</v>
      </c>
      <c r="C55" s="3">
        <v>44743</v>
      </c>
      <c r="D55" s="1" t="s">
        <v>900</v>
      </c>
      <c r="E55" s="1" t="s">
        <v>898</v>
      </c>
      <c r="F55" s="1">
        <v>130</v>
      </c>
      <c r="G55" s="1" t="s">
        <v>1</v>
      </c>
      <c r="H55" s="4">
        <v>3</v>
      </c>
      <c r="I55" s="5">
        <v>3.138956050307417E-2</v>
      </c>
      <c r="J55">
        <f>Table_3[[#This Row],[Price of One Product]]*Table_3[[#This Row],[No of Products in one Sale]]*(1-Table_3[[#This Row],[Discount]])</f>
        <v>377.75807140380107</v>
      </c>
      <c r="O55">
        <v>377.75807140380107</v>
      </c>
      <c r="P55">
        <v>3.138956050307417E-2</v>
      </c>
    </row>
    <row r="56" spans="1:16" ht="14.25" customHeight="1">
      <c r="A56" s="1" t="s">
        <v>141</v>
      </c>
      <c r="B56" s="1" t="s">
        <v>887</v>
      </c>
      <c r="C56" s="3">
        <v>44737</v>
      </c>
      <c r="D56" s="1" t="s">
        <v>901</v>
      </c>
      <c r="E56" s="1" t="s">
        <v>896</v>
      </c>
      <c r="F56" s="1">
        <v>60</v>
      </c>
      <c r="G56" s="1" t="s">
        <v>2</v>
      </c>
      <c r="H56" s="4">
        <v>13</v>
      </c>
      <c r="I56" s="5">
        <v>0.23798278495106248</v>
      </c>
      <c r="J56">
        <f>Table_3[[#This Row],[Price of One Product]]*Table_3[[#This Row],[No of Products in one Sale]]*(1-Table_3[[#This Row],[Discount]])</f>
        <v>594.37342773817124</v>
      </c>
      <c r="O56">
        <v>594.37342773817124</v>
      </c>
      <c r="P56">
        <v>0.23798278495106248</v>
      </c>
    </row>
    <row r="57" spans="1:16" ht="14.25" customHeight="1">
      <c r="A57" s="1" t="s">
        <v>142</v>
      </c>
      <c r="B57" s="1" t="s">
        <v>883</v>
      </c>
      <c r="C57" s="3">
        <v>44757</v>
      </c>
      <c r="D57" s="1" t="s">
        <v>895</v>
      </c>
      <c r="E57" s="1" t="s">
        <v>898</v>
      </c>
      <c r="F57" s="1">
        <v>72</v>
      </c>
      <c r="G57" s="1" t="s">
        <v>3</v>
      </c>
      <c r="H57" s="4">
        <v>5</v>
      </c>
      <c r="I57" s="5">
        <v>0.19712344024473996</v>
      </c>
      <c r="J57">
        <f>Table_3[[#This Row],[Price of One Product]]*Table_3[[#This Row],[No of Products in one Sale]]*(1-Table_3[[#This Row],[Discount]])</f>
        <v>289.0355615118936</v>
      </c>
      <c r="O57">
        <v>289.0355615118936</v>
      </c>
      <c r="P57">
        <v>0.19712344024473996</v>
      </c>
    </row>
    <row r="58" spans="1:16" ht="14.25" customHeight="1">
      <c r="A58" s="1" t="s">
        <v>143</v>
      </c>
      <c r="B58" s="1" t="s">
        <v>884</v>
      </c>
      <c r="C58" s="3">
        <v>44745</v>
      </c>
      <c r="D58" s="1" t="s">
        <v>897</v>
      </c>
      <c r="E58" s="1" t="s">
        <v>896</v>
      </c>
      <c r="F58" s="1">
        <v>65</v>
      </c>
      <c r="G58" s="1" t="s">
        <v>1</v>
      </c>
      <c r="H58" s="4">
        <v>7</v>
      </c>
      <c r="I58" s="5">
        <v>6.8295799738434873E-2</v>
      </c>
      <c r="J58">
        <f>Table_3[[#This Row],[Price of One Product]]*Table_3[[#This Row],[No of Products in one Sale]]*(1-Table_3[[#This Row],[Discount]])</f>
        <v>423.9254111190121</v>
      </c>
      <c r="O58">
        <v>423.9254111190121</v>
      </c>
      <c r="P58">
        <v>6.8295799738434873E-2</v>
      </c>
    </row>
    <row r="59" spans="1:16" ht="14.25" customHeight="1">
      <c r="A59" s="1" t="s">
        <v>144</v>
      </c>
      <c r="B59" s="1" t="s">
        <v>885</v>
      </c>
      <c r="C59" s="3">
        <v>44760</v>
      </c>
      <c r="D59" s="1" t="s">
        <v>899</v>
      </c>
      <c r="E59" s="1" t="s">
        <v>898</v>
      </c>
      <c r="F59" s="1">
        <v>250</v>
      </c>
      <c r="G59" s="1" t="s">
        <v>2</v>
      </c>
      <c r="H59" s="4">
        <v>3</v>
      </c>
      <c r="I59" s="5">
        <v>1.6828522965904168E-2</v>
      </c>
      <c r="J59">
        <f>Table_3[[#This Row],[Price of One Product]]*Table_3[[#This Row],[No of Products in one Sale]]*(1-Table_3[[#This Row],[Discount]])</f>
        <v>737.37860777557182</v>
      </c>
      <c r="O59">
        <v>737.37860777557182</v>
      </c>
      <c r="P59">
        <v>1.6828522965904168E-2</v>
      </c>
    </row>
    <row r="60" spans="1:16" ht="14.25" customHeight="1">
      <c r="A60" s="1" t="s">
        <v>145</v>
      </c>
      <c r="B60" s="1" t="s">
        <v>886</v>
      </c>
      <c r="C60" s="3">
        <v>44750</v>
      </c>
      <c r="D60" s="1" t="s">
        <v>900</v>
      </c>
      <c r="E60" s="1" t="s">
        <v>896</v>
      </c>
      <c r="F60" s="1">
        <v>130</v>
      </c>
      <c r="G60" s="1" t="s">
        <v>3</v>
      </c>
      <c r="H60" s="4">
        <v>6</v>
      </c>
      <c r="I60" s="5">
        <v>0.26661284065553453</v>
      </c>
      <c r="J60">
        <f>Table_3[[#This Row],[Price of One Product]]*Table_3[[#This Row],[No of Products in one Sale]]*(1-Table_3[[#This Row],[Discount]])</f>
        <v>572.04198428868301</v>
      </c>
      <c r="O60">
        <v>572.04198428868301</v>
      </c>
      <c r="P60">
        <v>0.26661284065553453</v>
      </c>
    </row>
    <row r="61" spans="1:16" ht="14.25" customHeight="1">
      <c r="A61" s="1" t="s">
        <v>146</v>
      </c>
      <c r="B61" s="1" t="s">
        <v>883</v>
      </c>
      <c r="C61" s="3">
        <v>44742</v>
      </c>
      <c r="D61" s="1" t="s">
        <v>895</v>
      </c>
      <c r="E61" s="1" t="s">
        <v>898</v>
      </c>
      <c r="F61" s="1">
        <v>72</v>
      </c>
      <c r="G61" s="1" t="s">
        <v>1</v>
      </c>
      <c r="H61" s="4">
        <v>11</v>
      </c>
      <c r="I61" s="5">
        <v>0.21251347110701568</v>
      </c>
      <c r="J61">
        <f>Table_3[[#This Row],[Price of One Product]]*Table_3[[#This Row],[No of Products in one Sale]]*(1-Table_3[[#This Row],[Discount]])</f>
        <v>623.68933088324354</v>
      </c>
      <c r="O61">
        <v>623.68933088324354</v>
      </c>
      <c r="P61">
        <v>0.21251347110701568</v>
      </c>
    </row>
    <row r="62" spans="1:16" ht="14.25" customHeight="1">
      <c r="A62" s="1" t="s">
        <v>147</v>
      </c>
      <c r="B62" s="1" t="s">
        <v>884</v>
      </c>
      <c r="C62" s="3">
        <v>44754</v>
      </c>
      <c r="D62" s="1" t="s">
        <v>897</v>
      </c>
      <c r="E62" s="1" t="s">
        <v>896</v>
      </c>
      <c r="F62" s="1">
        <v>65</v>
      </c>
      <c r="G62" s="1" t="s">
        <v>2</v>
      </c>
      <c r="H62" s="4">
        <v>12</v>
      </c>
      <c r="I62" s="5">
        <v>0.10994257661413849</v>
      </c>
      <c r="J62">
        <f>Table_3[[#This Row],[Price of One Product]]*Table_3[[#This Row],[No of Products in one Sale]]*(1-Table_3[[#This Row],[Discount]])</f>
        <v>694.24479024097195</v>
      </c>
      <c r="O62">
        <v>694.24479024097195</v>
      </c>
      <c r="P62">
        <v>0.10994257661413849</v>
      </c>
    </row>
    <row r="63" spans="1:16" ht="14.25" customHeight="1">
      <c r="A63" s="1" t="s">
        <v>148</v>
      </c>
      <c r="B63" s="1" t="s">
        <v>885</v>
      </c>
      <c r="C63" s="3">
        <v>44746</v>
      </c>
      <c r="D63" s="1" t="s">
        <v>899</v>
      </c>
      <c r="E63" s="1" t="s">
        <v>898</v>
      </c>
      <c r="F63" s="1">
        <v>250</v>
      </c>
      <c r="G63" s="1" t="s">
        <v>3</v>
      </c>
      <c r="H63" s="4">
        <v>2</v>
      </c>
      <c r="I63" s="5">
        <v>0.53607498908607099</v>
      </c>
      <c r="J63">
        <f>Table_3[[#This Row],[Price of One Product]]*Table_3[[#This Row],[No of Products in one Sale]]*(1-Table_3[[#This Row],[Discount]])</f>
        <v>231.96250545696449</v>
      </c>
      <c r="O63">
        <v>231.96250545696449</v>
      </c>
      <c r="P63">
        <v>0.53607498908607099</v>
      </c>
    </row>
    <row r="64" spans="1:16" ht="14.25" customHeight="1">
      <c r="A64" s="1" t="s">
        <v>149</v>
      </c>
      <c r="B64" s="1" t="s">
        <v>886</v>
      </c>
      <c r="C64" s="3">
        <v>44752</v>
      </c>
      <c r="D64" s="1" t="s">
        <v>900</v>
      </c>
      <c r="E64" s="1" t="s">
        <v>896</v>
      </c>
      <c r="F64" s="1">
        <v>130</v>
      </c>
      <c r="G64" s="1" t="s">
        <v>1</v>
      </c>
      <c r="H64" s="4">
        <v>6</v>
      </c>
      <c r="I64" s="5">
        <v>3.7515550327758003E-2</v>
      </c>
      <c r="J64">
        <f>Table_3[[#This Row],[Price of One Product]]*Table_3[[#This Row],[No of Products in one Sale]]*(1-Table_3[[#This Row],[Discount]])</f>
        <v>750.73787074434881</v>
      </c>
      <c r="O64">
        <v>750.73787074434881</v>
      </c>
      <c r="P64">
        <v>3.7515550327758003E-2</v>
      </c>
    </row>
    <row r="65" spans="1:16" ht="14.25" customHeight="1">
      <c r="A65" s="1" t="s">
        <v>150</v>
      </c>
      <c r="B65" s="1" t="s">
        <v>887</v>
      </c>
      <c r="C65" s="3">
        <v>44725</v>
      </c>
      <c r="D65" s="1" t="s">
        <v>901</v>
      </c>
      <c r="E65" s="1" t="s">
        <v>896</v>
      </c>
      <c r="F65" s="1">
        <v>60</v>
      </c>
      <c r="G65" s="1" t="s">
        <v>2</v>
      </c>
      <c r="H65" s="4">
        <v>15</v>
      </c>
      <c r="I65" s="5">
        <v>2.4938289886663061E-2</v>
      </c>
      <c r="J65">
        <f>Table_3[[#This Row],[Price of One Product]]*Table_3[[#This Row],[No of Products in one Sale]]*(1-Table_3[[#This Row],[Discount]])</f>
        <v>877.55553910200331</v>
      </c>
      <c r="O65">
        <v>877.55553910200331</v>
      </c>
      <c r="P65">
        <v>2.4938289886663061E-2</v>
      </c>
    </row>
    <row r="66" spans="1:16" ht="14.25" customHeight="1">
      <c r="A66" s="1" t="s">
        <v>151</v>
      </c>
      <c r="B66" s="1" t="s">
        <v>888</v>
      </c>
      <c r="C66" s="3">
        <v>44734</v>
      </c>
      <c r="D66" s="1" t="s">
        <v>902</v>
      </c>
      <c r="E66" s="1" t="s">
        <v>898</v>
      </c>
      <c r="F66" s="1">
        <v>95</v>
      </c>
      <c r="G66" s="1" t="s">
        <v>3</v>
      </c>
      <c r="H66" s="4">
        <v>9</v>
      </c>
      <c r="I66" s="5">
        <v>1.0123391970414241E-2</v>
      </c>
      <c r="J66">
        <f>Table_3[[#This Row],[Price of One Product]]*Table_3[[#This Row],[No of Products in one Sale]]*(1-Table_3[[#This Row],[Discount]])</f>
        <v>846.3444998652958</v>
      </c>
      <c r="O66">
        <v>846.3444998652958</v>
      </c>
      <c r="P66">
        <v>1.0123391970414241E-2</v>
      </c>
    </row>
    <row r="67" spans="1:16" ht="14.25" customHeight="1">
      <c r="A67" s="1" t="s">
        <v>152</v>
      </c>
      <c r="B67" s="1" t="s">
        <v>883</v>
      </c>
      <c r="C67" s="3">
        <v>44761</v>
      </c>
      <c r="D67" s="1" t="s">
        <v>895</v>
      </c>
      <c r="E67" s="1" t="s">
        <v>898</v>
      </c>
      <c r="F67" s="1">
        <v>72</v>
      </c>
      <c r="G67" s="1" t="s">
        <v>1</v>
      </c>
      <c r="H67" s="4">
        <v>12</v>
      </c>
      <c r="I67" s="5">
        <v>0.1308869366379137</v>
      </c>
      <c r="J67">
        <f>Table_3[[#This Row],[Price of One Product]]*Table_3[[#This Row],[No of Products in one Sale]]*(1-Table_3[[#This Row],[Discount]])</f>
        <v>750.91368674484249</v>
      </c>
      <c r="O67">
        <v>750.91368674484249</v>
      </c>
      <c r="P67">
        <v>0.1308869366379137</v>
      </c>
    </row>
    <row r="68" spans="1:16" ht="14.25" customHeight="1">
      <c r="A68" s="1" t="s">
        <v>153</v>
      </c>
      <c r="B68" s="1" t="s">
        <v>884</v>
      </c>
      <c r="C68" s="3">
        <v>44735</v>
      </c>
      <c r="D68" s="1" t="s">
        <v>897</v>
      </c>
      <c r="E68" s="1" t="s">
        <v>898</v>
      </c>
      <c r="F68" s="1">
        <v>65</v>
      </c>
      <c r="G68" s="1" t="s">
        <v>2</v>
      </c>
      <c r="H68" s="4">
        <v>7</v>
      </c>
      <c r="I68" s="5">
        <v>6.6961969492996459E-2</v>
      </c>
      <c r="J68">
        <f>Table_3[[#This Row],[Price of One Product]]*Table_3[[#This Row],[No of Products in one Sale]]*(1-Table_3[[#This Row],[Discount]])</f>
        <v>424.53230388068658</v>
      </c>
      <c r="O68">
        <v>424.53230388068658</v>
      </c>
      <c r="P68">
        <v>6.6961969492996459E-2</v>
      </c>
    </row>
    <row r="69" spans="1:16" ht="14.25" customHeight="1">
      <c r="A69" s="1" t="s">
        <v>154</v>
      </c>
      <c r="B69" s="1" t="s">
        <v>885</v>
      </c>
      <c r="C69" s="3">
        <v>44753</v>
      </c>
      <c r="D69" s="1" t="s">
        <v>899</v>
      </c>
      <c r="E69" s="1" t="s">
        <v>896</v>
      </c>
      <c r="F69" s="1">
        <v>250</v>
      </c>
      <c r="G69" s="1" t="s">
        <v>3</v>
      </c>
      <c r="H69" s="4">
        <v>3</v>
      </c>
      <c r="I69" s="5">
        <v>0.36350761794645753</v>
      </c>
      <c r="J69">
        <f>Table_3[[#This Row],[Price of One Product]]*Table_3[[#This Row],[No of Products in one Sale]]*(1-Table_3[[#This Row],[Discount]])</f>
        <v>477.36928654015679</v>
      </c>
      <c r="O69">
        <v>477.36928654015679</v>
      </c>
      <c r="P69">
        <v>0.36350761794645753</v>
      </c>
    </row>
    <row r="70" spans="1:16" ht="14.25" customHeight="1">
      <c r="A70" s="1" t="s">
        <v>155</v>
      </c>
      <c r="B70" s="1" t="s">
        <v>886</v>
      </c>
      <c r="C70" s="3">
        <v>44732</v>
      </c>
      <c r="D70" s="1" t="s">
        <v>900</v>
      </c>
      <c r="E70" s="1" t="s">
        <v>896</v>
      </c>
      <c r="F70" s="1">
        <v>130</v>
      </c>
      <c r="G70" s="1" t="s">
        <v>1</v>
      </c>
      <c r="H70" s="4">
        <v>6</v>
      </c>
      <c r="I70" s="5">
        <v>0.30841415491993102</v>
      </c>
      <c r="J70">
        <f>Table_3[[#This Row],[Price of One Product]]*Table_3[[#This Row],[No of Products in one Sale]]*(1-Table_3[[#This Row],[Discount]])</f>
        <v>539.43695916245372</v>
      </c>
      <c r="O70">
        <v>539.43695916245372</v>
      </c>
      <c r="P70">
        <v>0.30841415491993102</v>
      </c>
    </row>
    <row r="71" spans="1:16" ht="14.25" customHeight="1">
      <c r="A71" s="1" t="s">
        <v>156</v>
      </c>
      <c r="B71" s="1" t="s">
        <v>883</v>
      </c>
      <c r="C71" s="3">
        <v>44748</v>
      </c>
      <c r="D71" s="1" t="s">
        <v>895</v>
      </c>
      <c r="E71" s="1" t="s">
        <v>896</v>
      </c>
      <c r="F71" s="1">
        <v>72</v>
      </c>
      <c r="G71" s="1" t="s">
        <v>2</v>
      </c>
      <c r="H71" s="4">
        <v>9</v>
      </c>
      <c r="I71" s="5">
        <v>0.21287301321989574</v>
      </c>
      <c r="J71">
        <f>Table_3[[#This Row],[Price of One Product]]*Table_3[[#This Row],[No of Products in one Sale]]*(1-Table_3[[#This Row],[Discount]])</f>
        <v>510.05828743350759</v>
      </c>
      <c r="O71">
        <v>510.05828743350759</v>
      </c>
      <c r="P71">
        <v>0.21287301321989574</v>
      </c>
    </row>
    <row r="72" spans="1:16" ht="14.25" customHeight="1">
      <c r="A72" s="1" t="s">
        <v>157</v>
      </c>
      <c r="B72" s="1" t="s">
        <v>884</v>
      </c>
      <c r="C72" s="3">
        <v>44731</v>
      </c>
      <c r="D72" s="1" t="s">
        <v>897</v>
      </c>
      <c r="E72" s="1" t="s">
        <v>896</v>
      </c>
      <c r="F72" s="1">
        <v>65</v>
      </c>
      <c r="G72" s="1" t="s">
        <v>3</v>
      </c>
      <c r="H72" s="4">
        <v>4</v>
      </c>
      <c r="I72" s="5">
        <v>0.11047742601795077</v>
      </c>
      <c r="J72">
        <f>Table_3[[#This Row],[Price of One Product]]*Table_3[[#This Row],[No of Products in one Sale]]*(1-Table_3[[#This Row],[Discount]])</f>
        <v>231.27586923533281</v>
      </c>
      <c r="O72">
        <v>231.27586923533281</v>
      </c>
      <c r="P72">
        <v>0.11047742601795077</v>
      </c>
    </row>
    <row r="73" spans="1:16" ht="14.25" customHeight="1">
      <c r="A73" s="1" t="s">
        <v>158</v>
      </c>
      <c r="B73" s="1" t="s">
        <v>885</v>
      </c>
      <c r="C73" s="3">
        <v>44725</v>
      </c>
      <c r="D73" s="1" t="s">
        <v>899</v>
      </c>
      <c r="E73" s="1" t="s">
        <v>896</v>
      </c>
      <c r="F73" s="1">
        <v>250</v>
      </c>
      <c r="G73" s="1" t="s">
        <v>1</v>
      </c>
      <c r="H73" s="4">
        <v>2</v>
      </c>
      <c r="I73" s="5">
        <v>4.8799156151631218E-2</v>
      </c>
      <c r="J73">
        <f>Table_3[[#This Row],[Price of One Product]]*Table_3[[#This Row],[No of Products in one Sale]]*(1-Table_3[[#This Row],[Discount]])</f>
        <v>475.60042192418439</v>
      </c>
      <c r="O73">
        <v>475.60042192418439</v>
      </c>
      <c r="P73">
        <v>4.8799156151631218E-2</v>
      </c>
    </row>
    <row r="74" spans="1:16" ht="14.25" customHeight="1">
      <c r="A74" s="1" t="s">
        <v>159</v>
      </c>
      <c r="B74" s="1" t="s">
        <v>886</v>
      </c>
      <c r="C74" s="3">
        <v>44753</v>
      </c>
      <c r="D74" s="1" t="s">
        <v>900</v>
      </c>
      <c r="E74" s="1" t="s">
        <v>896</v>
      </c>
      <c r="F74" s="1">
        <v>130</v>
      </c>
      <c r="G74" s="1" t="s">
        <v>2</v>
      </c>
      <c r="H74" s="4">
        <v>6</v>
      </c>
      <c r="I74" s="5">
        <v>0.27879506176921365</v>
      </c>
      <c r="J74">
        <f>Table_3[[#This Row],[Price of One Product]]*Table_3[[#This Row],[No of Products in one Sale]]*(1-Table_3[[#This Row],[Discount]])</f>
        <v>562.53985182001338</v>
      </c>
      <c r="O74">
        <v>562.53985182001338</v>
      </c>
      <c r="P74">
        <v>0.27879506176921365</v>
      </c>
    </row>
    <row r="75" spans="1:16" ht="14.25" customHeight="1">
      <c r="A75" s="1" t="s">
        <v>160</v>
      </c>
      <c r="B75" s="1" t="s">
        <v>887</v>
      </c>
      <c r="C75" s="3">
        <v>44738</v>
      </c>
      <c r="D75" s="1" t="s">
        <v>901</v>
      </c>
      <c r="E75" s="1" t="s">
        <v>896</v>
      </c>
      <c r="F75" s="1">
        <v>60</v>
      </c>
      <c r="G75" s="1" t="s">
        <v>3</v>
      </c>
      <c r="H75" s="4">
        <v>9</v>
      </c>
      <c r="I75" s="5">
        <v>7.6045534046593019E-2</v>
      </c>
      <c r="J75">
        <f>Table_3[[#This Row],[Price of One Product]]*Table_3[[#This Row],[No of Products in one Sale]]*(1-Table_3[[#This Row],[Discount]])</f>
        <v>498.93541161483978</v>
      </c>
      <c r="O75">
        <v>498.93541161483978</v>
      </c>
      <c r="P75">
        <v>7.6045534046593019E-2</v>
      </c>
    </row>
    <row r="76" spans="1:16" ht="14.25" customHeight="1">
      <c r="A76" s="1" t="s">
        <v>161</v>
      </c>
      <c r="B76" s="1" t="s">
        <v>883</v>
      </c>
      <c r="C76" s="3">
        <v>44762</v>
      </c>
      <c r="D76" s="1" t="s">
        <v>895</v>
      </c>
      <c r="E76" s="1" t="s">
        <v>896</v>
      </c>
      <c r="F76" s="1">
        <v>72</v>
      </c>
      <c r="G76" s="1" t="s">
        <v>1</v>
      </c>
      <c r="H76" s="4">
        <v>11</v>
      </c>
      <c r="I76" s="5">
        <v>0.12055762754740325</v>
      </c>
      <c r="J76">
        <f>Table_3[[#This Row],[Price of One Product]]*Table_3[[#This Row],[No of Products in one Sale]]*(1-Table_3[[#This Row],[Discount]])</f>
        <v>696.51835898245656</v>
      </c>
      <c r="O76">
        <v>696.51835898245656</v>
      </c>
      <c r="P76">
        <v>0.12055762754740325</v>
      </c>
    </row>
    <row r="77" spans="1:16" ht="14.25" customHeight="1">
      <c r="A77" s="1" t="s">
        <v>162</v>
      </c>
      <c r="B77" s="1" t="s">
        <v>884</v>
      </c>
      <c r="C77" s="3">
        <v>44756</v>
      </c>
      <c r="D77" s="1" t="s">
        <v>897</v>
      </c>
      <c r="E77" s="1" t="s">
        <v>896</v>
      </c>
      <c r="F77" s="1">
        <v>65</v>
      </c>
      <c r="G77" s="1" t="s">
        <v>2</v>
      </c>
      <c r="H77" s="4">
        <v>13</v>
      </c>
      <c r="I77" s="5">
        <v>0.30283946337780637</v>
      </c>
      <c r="J77">
        <f>Table_3[[#This Row],[Price of One Product]]*Table_3[[#This Row],[No of Products in one Sale]]*(1-Table_3[[#This Row],[Discount]])</f>
        <v>589.10065344575355</v>
      </c>
      <c r="O77">
        <v>589.10065344575355</v>
      </c>
      <c r="P77">
        <v>0.30283946337780637</v>
      </c>
    </row>
    <row r="78" spans="1:16" ht="14.25" customHeight="1">
      <c r="A78" s="1" t="s">
        <v>163</v>
      </c>
      <c r="B78" s="1" t="s">
        <v>885</v>
      </c>
      <c r="C78" s="3">
        <v>44744</v>
      </c>
      <c r="D78" s="1" t="s">
        <v>899</v>
      </c>
      <c r="E78" s="1" t="s">
        <v>898</v>
      </c>
      <c r="F78" s="1">
        <v>250</v>
      </c>
      <c r="G78" s="1" t="s">
        <v>3</v>
      </c>
      <c r="H78" s="4">
        <v>2</v>
      </c>
      <c r="I78" s="5">
        <v>0.41401829873258272</v>
      </c>
      <c r="J78">
        <f>Table_3[[#This Row],[Price of One Product]]*Table_3[[#This Row],[No of Products in one Sale]]*(1-Table_3[[#This Row],[Discount]])</f>
        <v>292.99085063370865</v>
      </c>
      <c r="O78">
        <v>292.99085063370865</v>
      </c>
      <c r="P78">
        <v>0.41401829873258272</v>
      </c>
    </row>
    <row r="79" spans="1:16" ht="14.25" customHeight="1">
      <c r="A79" s="1" t="s">
        <v>164</v>
      </c>
      <c r="B79" s="1" t="s">
        <v>886</v>
      </c>
      <c r="C79" s="3">
        <v>44753</v>
      </c>
      <c r="D79" s="1" t="s">
        <v>900</v>
      </c>
      <c r="E79" s="1" t="s">
        <v>896</v>
      </c>
      <c r="F79" s="1">
        <v>130</v>
      </c>
      <c r="G79" s="1" t="s">
        <v>1</v>
      </c>
      <c r="H79" s="4">
        <v>6</v>
      </c>
      <c r="I79" s="5">
        <v>6.1603660271292333E-3</v>
      </c>
      <c r="J79">
        <f>Table_3[[#This Row],[Price of One Product]]*Table_3[[#This Row],[No of Products in one Sale]]*(1-Table_3[[#This Row],[Discount]])</f>
        <v>775.19491449883924</v>
      </c>
      <c r="O79">
        <v>775.19491449883924</v>
      </c>
      <c r="P79">
        <v>6.1603660271292333E-3</v>
      </c>
    </row>
    <row r="80" spans="1:16" ht="14.25" customHeight="1">
      <c r="A80" s="1" t="s">
        <v>165</v>
      </c>
      <c r="B80" s="1" t="s">
        <v>883</v>
      </c>
      <c r="C80" s="3">
        <v>44762</v>
      </c>
      <c r="D80" s="1" t="s">
        <v>895</v>
      </c>
      <c r="E80" s="1" t="s">
        <v>896</v>
      </c>
      <c r="F80" s="1">
        <v>72</v>
      </c>
      <c r="G80" s="1" t="s">
        <v>2</v>
      </c>
      <c r="H80" s="4">
        <v>12</v>
      </c>
      <c r="I80" s="5">
        <v>0.10495963672233184</v>
      </c>
      <c r="J80">
        <f>Table_3[[#This Row],[Price of One Product]]*Table_3[[#This Row],[No of Products in one Sale]]*(1-Table_3[[#This Row],[Discount]])</f>
        <v>773.31487387190521</v>
      </c>
      <c r="O80">
        <v>773.31487387190521</v>
      </c>
      <c r="P80">
        <v>0.10495963672233184</v>
      </c>
    </row>
    <row r="81" spans="1:16" ht="14.25" customHeight="1">
      <c r="A81" s="1" t="s">
        <v>166</v>
      </c>
      <c r="B81" s="1" t="s">
        <v>884</v>
      </c>
      <c r="C81" s="3">
        <v>44740</v>
      </c>
      <c r="D81" s="1" t="s">
        <v>897</v>
      </c>
      <c r="E81" s="1" t="s">
        <v>896</v>
      </c>
      <c r="F81" s="1">
        <v>65</v>
      </c>
      <c r="G81" s="1" t="s">
        <v>3</v>
      </c>
      <c r="H81" s="4">
        <v>11</v>
      </c>
      <c r="I81" s="5">
        <v>0.29377273906475571</v>
      </c>
      <c r="J81">
        <f>Table_3[[#This Row],[Price of One Product]]*Table_3[[#This Row],[No of Products in one Sale]]*(1-Table_3[[#This Row],[Discount]])</f>
        <v>504.95249156869966</v>
      </c>
      <c r="O81">
        <v>504.95249156869966</v>
      </c>
      <c r="P81">
        <v>0.29377273906475571</v>
      </c>
    </row>
    <row r="82" spans="1:16" ht="14.25" customHeight="1">
      <c r="A82" s="1" t="s">
        <v>167</v>
      </c>
      <c r="B82" s="1" t="s">
        <v>885</v>
      </c>
      <c r="C82" s="3">
        <v>44729</v>
      </c>
      <c r="D82" s="1" t="s">
        <v>899</v>
      </c>
      <c r="E82" s="1" t="s">
        <v>896</v>
      </c>
      <c r="F82" s="1">
        <v>250</v>
      </c>
      <c r="G82" s="1" t="s">
        <v>1</v>
      </c>
      <c r="H82" s="4">
        <v>3</v>
      </c>
      <c r="I82" s="5">
        <v>0.56559810101924179</v>
      </c>
      <c r="J82">
        <f>Table_3[[#This Row],[Price of One Product]]*Table_3[[#This Row],[No of Products in one Sale]]*(1-Table_3[[#This Row],[Discount]])</f>
        <v>325.80142423556867</v>
      </c>
      <c r="O82">
        <v>325.80142423556867</v>
      </c>
      <c r="P82">
        <v>0.56559810101924179</v>
      </c>
    </row>
    <row r="83" spans="1:16" ht="14.25" customHeight="1">
      <c r="A83" s="1" t="s">
        <v>168</v>
      </c>
      <c r="B83" s="1" t="s">
        <v>886</v>
      </c>
      <c r="C83" s="3">
        <v>44727</v>
      </c>
      <c r="D83" s="1" t="s">
        <v>900</v>
      </c>
      <c r="E83" s="1" t="s">
        <v>896</v>
      </c>
      <c r="F83" s="1">
        <v>130</v>
      </c>
      <c r="G83" s="1" t="s">
        <v>2</v>
      </c>
      <c r="H83" s="4">
        <v>4</v>
      </c>
      <c r="I83" s="5">
        <v>0.14180367825735268</v>
      </c>
      <c r="J83">
        <f>Table_3[[#This Row],[Price of One Product]]*Table_3[[#This Row],[No of Products in one Sale]]*(1-Table_3[[#This Row],[Discount]])</f>
        <v>446.26208730617662</v>
      </c>
      <c r="O83">
        <v>446.26208730617662</v>
      </c>
      <c r="P83">
        <v>0.14180367825735268</v>
      </c>
    </row>
    <row r="84" spans="1:16" ht="14.25" customHeight="1">
      <c r="A84" s="1" t="s">
        <v>169</v>
      </c>
      <c r="B84" s="1" t="s">
        <v>887</v>
      </c>
      <c r="C84" s="3">
        <v>44734</v>
      </c>
      <c r="D84" s="1" t="s">
        <v>901</v>
      </c>
      <c r="E84" s="1" t="s">
        <v>898</v>
      </c>
      <c r="F84" s="1">
        <v>60</v>
      </c>
      <c r="G84" s="1" t="s">
        <v>3</v>
      </c>
      <c r="H84" s="4">
        <v>14</v>
      </c>
      <c r="I84" s="5">
        <v>0.19727585407121537</v>
      </c>
      <c r="J84">
        <f>Table_3[[#This Row],[Price of One Product]]*Table_3[[#This Row],[No of Products in one Sale]]*(1-Table_3[[#This Row],[Discount]])</f>
        <v>674.28828258017904</v>
      </c>
      <c r="O84">
        <v>674.28828258017904</v>
      </c>
      <c r="P84">
        <v>0.19727585407121537</v>
      </c>
    </row>
    <row r="85" spans="1:16" ht="14.25" customHeight="1">
      <c r="A85" s="1" t="s">
        <v>170</v>
      </c>
      <c r="B85" s="1" t="s">
        <v>888</v>
      </c>
      <c r="C85" s="3">
        <v>44744</v>
      </c>
      <c r="D85" s="1" t="s">
        <v>902</v>
      </c>
      <c r="E85" s="1" t="s">
        <v>896</v>
      </c>
      <c r="F85" s="1">
        <v>95</v>
      </c>
      <c r="G85" s="1" t="s">
        <v>1</v>
      </c>
      <c r="H85" s="4">
        <v>2</v>
      </c>
      <c r="I85" s="5">
        <v>0.16026707373910823</v>
      </c>
      <c r="J85">
        <f>Table_3[[#This Row],[Price of One Product]]*Table_3[[#This Row],[No of Products in one Sale]]*(1-Table_3[[#This Row],[Discount]])</f>
        <v>159.54925598956945</v>
      </c>
      <c r="O85">
        <v>159.54925598956945</v>
      </c>
      <c r="P85">
        <v>0.16026707373910823</v>
      </c>
    </row>
    <row r="86" spans="1:16" ht="14.25" customHeight="1">
      <c r="A86" s="1" t="s">
        <v>171</v>
      </c>
      <c r="B86" s="1" t="s">
        <v>883</v>
      </c>
      <c r="C86" s="3">
        <v>44737</v>
      </c>
      <c r="D86" s="1" t="s">
        <v>895</v>
      </c>
      <c r="E86" s="1" t="s">
        <v>896</v>
      </c>
      <c r="F86" s="1">
        <v>72</v>
      </c>
      <c r="G86" s="1" t="s">
        <v>2</v>
      </c>
      <c r="H86" s="4">
        <v>4</v>
      </c>
      <c r="I86" s="5">
        <v>3.6754234817017679E-2</v>
      </c>
      <c r="J86">
        <f>Table_3[[#This Row],[Price of One Product]]*Table_3[[#This Row],[No of Products in one Sale]]*(1-Table_3[[#This Row],[Discount]])</f>
        <v>277.41478037269889</v>
      </c>
      <c r="O86">
        <v>277.41478037269889</v>
      </c>
      <c r="P86">
        <v>3.6754234817017679E-2</v>
      </c>
    </row>
    <row r="87" spans="1:16" ht="14.25" customHeight="1">
      <c r="A87" s="1" t="s">
        <v>172</v>
      </c>
      <c r="B87" s="1" t="s">
        <v>884</v>
      </c>
      <c r="C87" s="3">
        <v>44752</v>
      </c>
      <c r="D87" s="1" t="s">
        <v>897</v>
      </c>
      <c r="E87" s="1" t="s">
        <v>896</v>
      </c>
      <c r="F87" s="1">
        <v>65</v>
      </c>
      <c r="G87" s="1" t="s">
        <v>3</v>
      </c>
      <c r="H87" s="4">
        <v>6</v>
      </c>
      <c r="I87" s="5">
        <v>0.12047427034169578</v>
      </c>
      <c r="J87">
        <f>Table_3[[#This Row],[Price of One Product]]*Table_3[[#This Row],[No of Products in one Sale]]*(1-Table_3[[#This Row],[Discount]])</f>
        <v>343.01503456673862</v>
      </c>
      <c r="O87">
        <v>343.01503456673862</v>
      </c>
      <c r="P87">
        <v>0.12047427034169578</v>
      </c>
    </row>
    <row r="88" spans="1:16" ht="14.25" customHeight="1">
      <c r="A88" s="1" t="s">
        <v>173</v>
      </c>
      <c r="B88" s="1" t="s">
        <v>885</v>
      </c>
      <c r="C88" s="3">
        <v>44736</v>
      </c>
      <c r="D88" s="1" t="s">
        <v>899</v>
      </c>
      <c r="E88" s="1" t="s">
        <v>898</v>
      </c>
      <c r="F88" s="1">
        <v>250</v>
      </c>
      <c r="G88" s="1" t="s">
        <v>1</v>
      </c>
      <c r="H88" s="4">
        <v>2</v>
      </c>
      <c r="I88" s="5">
        <v>0.38636401364592987</v>
      </c>
      <c r="J88">
        <f>Table_3[[#This Row],[Price of One Product]]*Table_3[[#This Row],[No of Products in one Sale]]*(1-Table_3[[#This Row],[Discount]])</f>
        <v>306.81799317703508</v>
      </c>
      <c r="O88">
        <v>306.81799317703508</v>
      </c>
      <c r="P88">
        <v>0.38636401364592987</v>
      </c>
    </row>
    <row r="89" spans="1:16" ht="14.25" customHeight="1">
      <c r="A89" s="1" t="s">
        <v>174</v>
      </c>
      <c r="B89" s="1" t="s">
        <v>886</v>
      </c>
      <c r="C89" s="3">
        <v>44752</v>
      </c>
      <c r="D89" s="1" t="s">
        <v>900</v>
      </c>
      <c r="E89" s="1" t="s">
        <v>898</v>
      </c>
      <c r="F89" s="1">
        <v>130</v>
      </c>
      <c r="G89" s="1" t="s">
        <v>2</v>
      </c>
      <c r="H89" s="4">
        <v>5</v>
      </c>
      <c r="I89" s="5">
        <v>0.25111930985495906</v>
      </c>
      <c r="J89">
        <f>Table_3[[#This Row],[Price of One Product]]*Table_3[[#This Row],[No of Products in one Sale]]*(1-Table_3[[#This Row],[Discount]])</f>
        <v>486.77244859427657</v>
      </c>
      <c r="O89">
        <v>486.77244859427657</v>
      </c>
      <c r="P89">
        <v>0.25111930985495906</v>
      </c>
    </row>
    <row r="90" spans="1:16" ht="14.25" customHeight="1">
      <c r="A90" s="1" t="s">
        <v>175</v>
      </c>
      <c r="B90" s="1" t="s">
        <v>883</v>
      </c>
      <c r="C90" s="3">
        <v>44759</v>
      </c>
      <c r="D90" s="1" t="s">
        <v>895</v>
      </c>
      <c r="E90" s="1" t="s">
        <v>898</v>
      </c>
      <c r="F90" s="1">
        <v>72</v>
      </c>
      <c r="G90" s="1" t="s">
        <v>3</v>
      </c>
      <c r="H90" s="4">
        <v>6</v>
      </c>
      <c r="I90" s="5">
        <v>0.18099169049889144</v>
      </c>
      <c r="J90">
        <f>Table_3[[#This Row],[Price of One Product]]*Table_3[[#This Row],[No of Products in one Sale]]*(1-Table_3[[#This Row],[Discount]])</f>
        <v>353.81158970447893</v>
      </c>
      <c r="O90">
        <v>353.81158970447893</v>
      </c>
      <c r="P90">
        <v>0.18099169049889144</v>
      </c>
    </row>
    <row r="91" spans="1:16" ht="14.25" customHeight="1">
      <c r="A91" s="1" t="s">
        <v>176</v>
      </c>
      <c r="B91" s="1" t="s">
        <v>884</v>
      </c>
      <c r="C91" s="3">
        <v>44763</v>
      </c>
      <c r="D91" s="1" t="s">
        <v>897</v>
      </c>
      <c r="E91" s="1" t="s">
        <v>898</v>
      </c>
      <c r="F91" s="1">
        <v>65</v>
      </c>
      <c r="G91" s="1" t="s">
        <v>1</v>
      </c>
      <c r="H91" s="4">
        <v>6</v>
      </c>
      <c r="I91" s="5">
        <v>0.17363786365000505</v>
      </c>
      <c r="J91">
        <f>Table_3[[#This Row],[Price of One Product]]*Table_3[[#This Row],[No of Products in one Sale]]*(1-Table_3[[#This Row],[Discount]])</f>
        <v>322.28123317649801</v>
      </c>
      <c r="O91">
        <v>322.28123317649801</v>
      </c>
      <c r="P91">
        <v>0.17363786365000505</v>
      </c>
    </row>
    <row r="92" spans="1:16" ht="14.25" customHeight="1">
      <c r="A92" s="1" t="s">
        <v>177</v>
      </c>
      <c r="B92" s="1" t="s">
        <v>885</v>
      </c>
      <c r="C92" s="3">
        <v>44763</v>
      </c>
      <c r="D92" s="1" t="s">
        <v>899</v>
      </c>
      <c r="E92" s="1" t="s">
        <v>898</v>
      </c>
      <c r="F92" s="1">
        <v>250</v>
      </c>
      <c r="G92" s="1" t="s">
        <v>2</v>
      </c>
      <c r="H92" s="4">
        <v>3</v>
      </c>
      <c r="I92" s="5">
        <v>0.75489814137474298</v>
      </c>
      <c r="J92">
        <f>Table_3[[#This Row],[Price of One Product]]*Table_3[[#This Row],[No of Products in one Sale]]*(1-Table_3[[#This Row],[Discount]])</f>
        <v>183.82639396894277</v>
      </c>
      <c r="O92">
        <v>183.82639396894277</v>
      </c>
      <c r="P92">
        <v>0.75489814137474298</v>
      </c>
    </row>
    <row r="93" spans="1:16" ht="14.25" customHeight="1">
      <c r="A93" s="1" t="s">
        <v>178</v>
      </c>
      <c r="B93" s="1" t="s">
        <v>886</v>
      </c>
      <c r="C93" s="3">
        <v>44750</v>
      </c>
      <c r="D93" s="1" t="s">
        <v>900</v>
      </c>
      <c r="E93" s="1" t="s">
        <v>898</v>
      </c>
      <c r="F93" s="1">
        <v>130</v>
      </c>
      <c r="G93" s="1" t="s">
        <v>3</v>
      </c>
      <c r="H93" s="4">
        <v>4</v>
      </c>
      <c r="I93" s="5">
        <v>0.41826226246410803</v>
      </c>
      <c r="J93">
        <f>Table_3[[#This Row],[Price of One Product]]*Table_3[[#This Row],[No of Products in one Sale]]*(1-Table_3[[#This Row],[Discount]])</f>
        <v>302.5036235186638</v>
      </c>
      <c r="O93">
        <v>302.5036235186638</v>
      </c>
      <c r="P93">
        <v>0.41826226246410803</v>
      </c>
    </row>
    <row r="94" spans="1:16" ht="14.25" customHeight="1">
      <c r="A94" s="1" t="s">
        <v>179</v>
      </c>
      <c r="B94" s="1" t="s">
        <v>883</v>
      </c>
      <c r="C94" s="3">
        <v>44751</v>
      </c>
      <c r="D94" s="1" t="s">
        <v>895</v>
      </c>
      <c r="E94" s="1" t="s">
        <v>896</v>
      </c>
      <c r="F94" s="1">
        <v>72</v>
      </c>
      <c r="G94" s="1" t="s">
        <v>3</v>
      </c>
      <c r="H94" s="4">
        <v>11</v>
      </c>
      <c r="I94" s="5">
        <v>0.52183512590850833</v>
      </c>
      <c r="J94">
        <f>Table_3[[#This Row],[Price of One Product]]*Table_3[[#This Row],[No of Products in one Sale]]*(1-Table_3[[#This Row],[Discount]])</f>
        <v>378.70658028046142</v>
      </c>
      <c r="O94">
        <v>378.70658028046142</v>
      </c>
      <c r="P94">
        <v>0.52183512590850833</v>
      </c>
    </row>
    <row r="95" spans="1:16" ht="14.25" customHeight="1">
      <c r="A95" s="1" t="s">
        <v>180</v>
      </c>
      <c r="B95" s="1" t="s">
        <v>884</v>
      </c>
      <c r="C95" s="3">
        <v>44736</v>
      </c>
      <c r="D95" s="1" t="s">
        <v>897</v>
      </c>
      <c r="E95" s="1" t="s">
        <v>898</v>
      </c>
      <c r="F95" s="1">
        <v>65</v>
      </c>
      <c r="G95" s="1" t="s">
        <v>1</v>
      </c>
      <c r="H95" s="4">
        <v>12</v>
      </c>
      <c r="I95" s="5">
        <v>0.4407264983607897</v>
      </c>
      <c r="J95">
        <f>Table_3[[#This Row],[Price of One Product]]*Table_3[[#This Row],[No of Products in one Sale]]*(1-Table_3[[#This Row],[Discount]])</f>
        <v>436.23333127858405</v>
      </c>
      <c r="O95">
        <v>436.23333127858405</v>
      </c>
      <c r="P95">
        <v>0.4407264983607897</v>
      </c>
    </row>
    <row r="96" spans="1:16" ht="14.25" customHeight="1">
      <c r="A96" s="1" t="s">
        <v>181</v>
      </c>
      <c r="B96" s="1" t="s">
        <v>885</v>
      </c>
      <c r="C96" s="3">
        <v>44737</v>
      </c>
      <c r="D96" s="1" t="s">
        <v>899</v>
      </c>
      <c r="E96" s="1" t="s">
        <v>896</v>
      </c>
      <c r="F96" s="1">
        <v>250</v>
      </c>
      <c r="G96" s="1" t="s">
        <v>2</v>
      </c>
      <c r="H96" s="4">
        <v>3</v>
      </c>
      <c r="I96" s="5">
        <v>0.30123769132028422</v>
      </c>
      <c r="J96">
        <f>Table_3[[#This Row],[Price of One Product]]*Table_3[[#This Row],[No of Products in one Sale]]*(1-Table_3[[#This Row],[Discount]])</f>
        <v>524.07173150978679</v>
      </c>
      <c r="O96">
        <v>524.07173150978679</v>
      </c>
      <c r="P96">
        <v>0.30123769132028422</v>
      </c>
    </row>
    <row r="97" spans="1:16" ht="14.25" customHeight="1">
      <c r="A97" s="1" t="s">
        <v>182</v>
      </c>
      <c r="B97" s="1" t="s">
        <v>886</v>
      </c>
      <c r="C97" s="3">
        <v>44744</v>
      </c>
      <c r="D97" s="1" t="s">
        <v>900</v>
      </c>
      <c r="E97" s="1" t="s">
        <v>898</v>
      </c>
      <c r="F97" s="1">
        <v>130</v>
      </c>
      <c r="G97" s="1" t="s">
        <v>3</v>
      </c>
      <c r="H97" s="4">
        <v>4</v>
      </c>
      <c r="I97" s="5">
        <v>0.42020557863905661</v>
      </c>
      <c r="J97">
        <f>Table_3[[#This Row],[Price of One Product]]*Table_3[[#This Row],[No of Products in one Sale]]*(1-Table_3[[#This Row],[Discount]])</f>
        <v>301.49309910769057</v>
      </c>
      <c r="O97">
        <v>301.49309910769057</v>
      </c>
      <c r="P97">
        <v>0.42020557863905661</v>
      </c>
    </row>
    <row r="98" spans="1:16" ht="14.25" customHeight="1">
      <c r="A98" s="1" t="s">
        <v>183</v>
      </c>
      <c r="B98" s="1" t="s">
        <v>883</v>
      </c>
      <c r="C98" s="3">
        <v>44735</v>
      </c>
      <c r="D98" s="1" t="s">
        <v>895</v>
      </c>
      <c r="E98" s="1" t="s">
        <v>896</v>
      </c>
      <c r="F98" s="1">
        <v>72</v>
      </c>
      <c r="G98" s="1" t="s">
        <v>1</v>
      </c>
      <c r="H98" s="4">
        <v>10</v>
      </c>
      <c r="I98" s="5">
        <v>0.38179966249899233</v>
      </c>
      <c r="J98">
        <f>Table_3[[#This Row],[Price of One Product]]*Table_3[[#This Row],[No of Products in one Sale]]*(1-Table_3[[#This Row],[Discount]])</f>
        <v>445.10424300072555</v>
      </c>
      <c r="O98">
        <v>445.10424300072555</v>
      </c>
      <c r="P98">
        <v>0.38179966249899233</v>
      </c>
    </row>
    <row r="99" spans="1:16" ht="14.25" customHeight="1">
      <c r="A99" s="1" t="s">
        <v>184</v>
      </c>
      <c r="B99" s="1" t="s">
        <v>884</v>
      </c>
      <c r="C99" s="3">
        <v>44751</v>
      </c>
      <c r="D99" s="1" t="s">
        <v>897</v>
      </c>
      <c r="E99" s="1" t="s">
        <v>898</v>
      </c>
      <c r="F99" s="1">
        <v>65</v>
      </c>
      <c r="G99" s="1" t="s">
        <v>2</v>
      </c>
      <c r="H99" s="4">
        <v>5</v>
      </c>
      <c r="I99" s="5">
        <v>4.8435914836800764E-3</v>
      </c>
      <c r="J99">
        <f>Table_3[[#This Row],[Price of One Product]]*Table_3[[#This Row],[No of Products in one Sale]]*(1-Table_3[[#This Row],[Discount]])</f>
        <v>323.42583276780397</v>
      </c>
      <c r="O99">
        <v>323.42583276780397</v>
      </c>
      <c r="P99">
        <v>4.8435914836800764E-3</v>
      </c>
    </row>
    <row r="100" spans="1:16" ht="14.25" customHeight="1">
      <c r="A100" s="1" t="s">
        <v>185</v>
      </c>
      <c r="B100" s="1" t="s">
        <v>885</v>
      </c>
      <c r="C100" s="3">
        <v>44726</v>
      </c>
      <c r="D100" s="1" t="s">
        <v>899</v>
      </c>
      <c r="E100" s="1" t="s">
        <v>896</v>
      </c>
      <c r="F100" s="1">
        <v>250</v>
      </c>
      <c r="G100" s="1" t="s">
        <v>3</v>
      </c>
      <c r="H100" s="4">
        <v>2</v>
      </c>
      <c r="I100" s="5">
        <v>0.63857584714373206</v>
      </c>
      <c r="J100">
        <f>Table_3[[#This Row],[Price of One Product]]*Table_3[[#This Row],[No of Products in one Sale]]*(1-Table_3[[#This Row],[Discount]])</f>
        <v>180.71207642813397</v>
      </c>
      <c r="O100">
        <v>180.71207642813397</v>
      </c>
      <c r="P100">
        <v>0.63857584714373206</v>
      </c>
    </row>
    <row r="101" spans="1:16" ht="14.25" customHeight="1">
      <c r="A101" s="1" t="s">
        <v>186</v>
      </c>
      <c r="B101" s="1" t="s">
        <v>886</v>
      </c>
      <c r="C101" s="3">
        <v>44749</v>
      </c>
      <c r="D101" s="1" t="s">
        <v>900</v>
      </c>
      <c r="E101" s="1" t="s">
        <v>898</v>
      </c>
      <c r="F101" s="1">
        <v>130</v>
      </c>
      <c r="G101" s="1" t="s">
        <v>1</v>
      </c>
      <c r="H101" s="4">
        <v>7</v>
      </c>
      <c r="I101" s="5">
        <v>0.92544771931561698</v>
      </c>
      <c r="J101">
        <f>Table_3[[#This Row],[Price of One Product]]*Table_3[[#This Row],[No of Products in one Sale]]*(1-Table_3[[#This Row],[Discount]])</f>
        <v>67.842575422788542</v>
      </c>
      <c r="O101">
        <v>67.842575422788542</v>
      </c>
      <c r="P101">
        <v>0.92544771931561698</v>
      </c>
    </row>
    <row r="102" spans="1:16" ht="14.25" customHeight="1">
      <c r="A102" s="1" t="s">
        <v>187</v>
      </c>
      <c r="B102" s="1" t="s">
        <v>887</v>
      </c>
      <c r="C102" s="3">
        <v>44734</v>
      </c>
      <c r="D102" s="1" t="s">
        <v>901</v>
      </c>
      <c r="E102" s="1" t="s">
        <v>896</v>
      </c>
      <c r="F102" s="1">
        <v>60</v>
      </c>
      <c r="G102" s="1" t="s">
        <v>2</v>
      </c>
      <c r="H102" s="4">
        <v>10</v>
      </c>
      <c r="I102" s="5">
        <v>4.9069353138029403E-2</v>
      </c>
      <c r="J102">
        <f>Table_3[[#This Row],[Price of One Product]]*Table_3[[#This Row],[No of Products in one Sale]]*(1-Table_3[[#This Row],[Discount]])</f>
        <v>570.5583881171824</v>
      </c>
      <c r="O102">
        <v>570.5583881171824</v>
      </c>
      <c r="P102">
        <v>4.9069353138029403E-2</v>
      </c>
    </row>
    <row r="103" spans="1:16" ht="14.25" customHeight="1">
      <c r="A103" s="1" t="s">
        <v>188</v>
      </c>
      <c r="B103" s="1" t="s">
        <v>883</v>
      </c>
      <c r="C103" s="3">
        <v>44726</v>
      </c>
      <c r="D103" s="1" t="s">
        <v>895</v>
      </c>
      <c r="E103" s="1" t="s">
        <v>898</v>
      </c>
      <c r="F103" s="1">
        <v>72</v>
      </c>
      <c r="G103" s="1" t="s">
        <v>3</v>
      </c>
      <c r="H103" s="4">
        <v>11</v>
      </c>
      <c r="I103" s="5">
        <v>0.7875779554918797</v>
      </c>
      <c r="J103">
        <f>Table_3[[#This Row],[Price of One Product]]*Table_3[[#This Row],[No of Products in one Sale]]*(1-Table_3[[#This Row],[Discount]])</f>
        <v>168.23825925043127</v>
      </c>
      <c r="O103">
        <v>168.23825925043127</v>
      </c>
      <c r="P103">
        <v>0.7875779554918797</v>
      </c>
    </row>
    <row r="104" spans="1:16" ht="14.25" customHeight="1">
      <c r="A104" s="1" t="s">
        <v>189</v>
      </c>
      <c r="B104" s="1" t="s">
        <v>884</v>
      </c>
      <c r="C104" s="3">
        <v>44743</v>
      </c>
      <c r="D104" s="1" t="s">
        <v>897</v>
      </c>
      <c r="E104" s="1" t="s">
        <v>896</v>
      </c>
      <c r="F104" s="1">
        <v>65</v>
      </c>
      <c r="G104" s="1" t="s">
        <v>1</v>
      </c>
      <c r="H104" s="4">
        <v>13</v>
      </c>
      <c r="I104" s="5">
        <v>0.4468603878067412</v>
      </c>
      <c r="J104">
        <f>Table_3[[#This Row],[Price of One Product]]*Table_3[[#This Row],[No of Products in one Sale]]*(1-Table_3[[#This Row],[Discount]])</f>
        <v>467.40297230330367</v>
      </c>
      <c r="O104">
        <v>467.40297230330367</v>
      </c>
      <c r="P104">
        <v>0.4468603878067412</v>
      </c>
    </row>
    <row r="105" spans="1:16" ht="14.25" customHeight="1">
      <c r="A105" s="1" t="s">
        <v>190</v>
      </c>
      <c r="B105" s="1" t="s">
        <v>885</v>
      </c>
      <c r="C105" s="3">
        <v>44742</v>
      </c>
      <c r="D105" s="1" t="s">
        <v>899</v>
      </c>
      <c r="E105" s="1" t="s">
        <v>898</v>
      </c>
      <c r="F105" s="1">
        <v>250</v>
      </c>
      <c r="G105" s="1" t="s">
        <v>2</v>
      </c>
      <c r="H105" s="4">
        <v>2</v>
      </c>
      <c r="I105" s="5">
        <v>0.89674363393446022</v>
      </c>
      <c r="J105">
        <f>Table_3[[#This Row],[Price of One Product]]*Table_3[[#This Row],[No of Products in one Sale]]*(1-Table_3[[#This Row],[Discount]])</f>
        <v>51.62818303276989</v>
      </c>
      <c r="O105">
        <v>51.62818303276989</v>
      </c>
      <c r="P105">
        <v>0.89674363393446022</v>
      </c>
    </row>
    <row r="106" spans="1:16" ht="14.25" customHeight="1">
      <c r="A106" s="1" t="s">
        <v>191</v>
      </c>
      <c r="B106" s="1" t="s">
        <v>886</v>
      </c>
      <c r="C106" s="3">
        <v>44747</v>
      </c>
      <c r="D106" s="1" t="s">
        <v>900</v>
      </c>
      <c r="E106" s="1" t="s">
        <v>896</v>
      </c>
      <c r="F106" s="1">
        <v>130</v>
      </c>
      <c r="G106" s="1" t="s">
        <v>3</v>
      </c>
      <c r="H106" s="4">
        <v>6</v>
      </c>
      <c r="I106" s="5">
        <v>3.2373342558606799E-2</v>
      </c>
      <c r="J106">
        <f>Table_3[[#This Row],[Price of One Product]]*Table_3[[#This Row],[No of Products in one Sale]]*(1-Table_3[[#This Row],[Discount]])</f>
        <v>754.74879280428672</v>
      </c>
      <c r="O106">
        <v>754.74879280428672</v>
      </c>
      <c r="P106">
        <v>3.2373342558606799E-2</v>
      </c>
    </row>
    <row r="107" spans="1:16" ht="14.25" customHeight="1">
      <c r="A107" s="1" t="s">
        <v>192</v>
      </c>
      <c r="B107" s="1" t="s">
        <v>883</v>
      </c>
      <c r="C107" s="3">
        <v>44764</v>
      </c>
      <c r="D107" s="1" t="s">
        <v>895</v>
      </c>
      <c r="E107" s="1" t="s">
        <v>898</v>
      </c>
      <c r="F107" s="1">
        <v>72</v>
      </c>
      <c r="G107" s="1" t="s">
        <v>1</v>
      </c>
      <c r="H107" s="4">
        <v>11</v>
      </c>
      <c r="I107" s="5">
        <v>0.94247200152138155</v>
      </c>
      <c r="J107">
        <f>Table_3[[#This Row],[Price of One Product]]*Table_3[[#This Row],[No of Products in one Sale]]*(1-Table_3[[#This Row],[Discount]])</f>
        <v>45.562174795065808</v>
      </c>
      <c r="O107">
        <v>45.562174795065808</v>
      </c>
      <c r="P107">
        <v>0.94247200152138155</v>
      </c>
    </row>
    <row r="108" spans="1:16" ht="14.25" customHeight="1">
      <c r="A108" s="1" t="s">
        <v>193</v>
      </c>
      <c r="B108" s="1" t="s">
        <v>884</v>
      </c>
      <c r="C108" s="3">
        <v>44735</v>
      </c>
      <c r="D108" s="1" t="s">
        <v>897</v>
      </c>
      <c r="E108" s="1" t="s">
        <v>896</v>
      </c>
      <c r="F108" s="1">
        <v>65</v>
      </c>
      <c r="G108" s="1" t="s">
        <v>2</v>
      </c>
      <c r="H108" s="4">
        <v>7</v>
      </c>
      <c r="I108" s="5">
        <v>0.24863680679080546</v>
      </c>
      <c r="J108">
        <f>Table_3[[#This Row],[Price of One Product]]*Table_3[[#This Row],[No of Products in one Sale]]*(1-Table_3[[#This Row],[Discount]])</f>
        <v>341.87025291018352</v>
      </c>
      <c r="O108">
        <v>341.87025291018352</v>
      </c>
      <c r="P108">
        <v>0.24863680679080546</v>
      </c>
    </row>
    <row r="109" spans="1:16" ht="14.25" customHeight="1">
      <c r="A109" s="1" t="s">
        <v>194</v>
      </c>
      <c r="B109" s="1" t="s">
        <v>885</v>
      </c>
      <c r="C109" s="3">
        <v>44737</v>
      </c>
      <c r="D109" s="1" t="s">
        <v>899</v>
      </c>
      <c r="E109" s="1" t="s">
        <v>898</v>
      </c>
      <c r="F109" s="1">
        <v>250</v>
      </c>
      <c r="G109" s="1" t="s">
        <v>3</v>
      </c>
      <c r="H109" s="4">
        <v>1</v>
      </c>
      <c r="I109" s="5">
        <v>4.9896521056402299E-2</v>
      </c>
      <c r="J109">
        <f>Table_3[[#This Row],[Price of One Product]]*Table_3[[#This Row],[No of Products in one Sale]]*(1-Table_3[[#This Row],[Discount]])</f>
        <v>237.52586973589942</v>
      </c>
      <c r="O109">
        <v>237.52586973589942</v>
      </c>
      <c r="P109">
        <v>4.9896521056402299E-2</v>
      </c>
    </row>
    <row r="110" spans="1:16" ht="14.25" customHeight="1">
      <c r="A110" s="1" t="s">
        <v>195</v>
      </c>
      <c r="B110" s="1" t="s">
        <v>886</v>
      </c>
      <c r="C110" s="3">
        <v>44749</v>
      </c>
      <c r="D110" s="1" t="s">
        <v>900</v>
      </c>
      <c r="E110" s="1" t="s">
        <v>896</v>
      </c>
      <c r="F110" s="1">
        <v>130</v>
      </c>
      <c r="G110" s="1" t="s">
        <v>1</v>
      </c>
      <c r="H110" s="4">
        <v>7</v>
      </c>
      <c r="I110" s="5">
        <v>0.49618340188276622</v>
      </c>
      <c r="J110">
        <f>Table_3[[#This Row],[Price of One Product]]*Table_3[[#This Row],[No of Products in one Sale]]*(1-Table_3[[#This Row],[Discount]])</f>
        <v>458.47310428668277</v>
      </c>
      <c r="O110">
        <v>458.47310428668277</v>
      </c>
      <c r="P110">
        <v>0.49618340188276622</v>
      </c>
    </row>
    <row r="111" spans="1:16" ht="14.25" customHeight="1">
      <c r="A111" s="1" t="s">
        <v>196</v>
      </c>
      <c r="B111" s="1" t="s">
        <v>887</v>
      </c>
      <c r="C111" s="3">
        <v>44729</v>
      </c>
      <c r="D111" s="1" t="s">
        <v>901</v>
      </c>
      <c r="E111" s="1" t="s">
        <v>896</v>
      </c>
      <c r="F111" s="1">
        <v>60</v>
      </c>
      <c r="G111" s="1" t="s">
        <v>2</v>
      </c>
      <c r="H111" s="4">
        <v>13</v>
      </c>
      <c r="I111" s="5">
        <v>0.62889621592411693</v>
      </c>
      <c r="J111">
        <f>Table_3[[#This Row],[Price of One Product]]*Table_3[[#This Row],[No of Products in one Sale]]*(1-Table_3[[#This Row],[Discount]])</f>
        <v>289.46095157918882</v>
      </c>
      <c r="O111">
        <v>289.46095157918882</v>
      </c>
      <c r="P111">
        <v>0.62889621592411693</v>
      </c>
    </row>
    <row r="112" spans="1:16" ht="14.25" customHeight="1">
      <c r="A112" s="1" t="s">
        <v>197</v>
      </c>
      <c r="B112" s="1" t="s">
        <v>888</v>
      </c>
      <c r="C112" s="3">
        <v>44738</v>
      </c>
      <c r="D112" s="1" t="s">
        <v>902</v>
      </c>
      <c r="E112" s="1" t="s">
        <v>898</v>
      </c>
      <c r="F112" s="1">
        <v>95</v>
      </c>
      <c r="G112" s="1" t="s">
        <v>3</v>
      </c>
      <c r="H112" s="4">
        <v>8</v>
      </c>
      <c r="I112" s="5">
        <v>0.87580490637929664</v>
      </c>
      <c r="J112">
        <f>Table_3[[#This Row],[Price of One Product]]*Table_3[[#This Row],[No of Products in one Sale]]*(1-Table_3[[#This Row],[Discount]])</f>
        <v>94.388271151734557</v>
      </c>
      <c r="O112">
        <v>94.388271151734557</v>
      </c>
      <c r="P112">
        <v>0.87580490637929664</v>
      </c>
    </row>
    <row r="113" spans="1:16" ht="14.25" customHeight="1">
      <c r="A113" s="1" t="s">
        <v>198</v>
      </c>
      <c r="B113" s="1" t="s">
        <v>883</v>
      </c>
      <c r="C113" s="3">
        <v>44740</v>
      </c>
      <c r="D113" s="1" t="s">
        <v>895</v>
      </c>
      <c r="E113" s="1" t="s">
        <v>898</v>
      </c>
      <c r="F113" s="1">
        <v>72</v>
      </c>
      <c r="G113" s="1" t="s">
        <v>1</v>
      </c>
      <c r="H113" s="4">
        <v>11</v>
      </c>
      <c r="I113" s="5">
        <v>0.37069854126093349</v>
      </c>
      <c r="J113">
        <f>Table_3[[#This Row],[Price of One Product]]*Table_3[[#This Row],[No of Products in one Sale]]*(1-Table_3[[#This Row],[Discount]])</f>
        <v>498.40675532134065</v>
      </c>
      <c r="O113">
        <v>498.40675532134065</v>
      </c>
      <c r="P113">
        <v>0.37069854126093349</v>
      </c>
    </row>
    <row r="114" spans="1:16" ht="14.25" customHeight="1">
      <c r="A114" s="1" t="s">
        <v>199</v>
      </c>
      <c r="B114" s="1" t="s">
        <v>884</v>
      </c>
      <c r="C114" s="3">
        <v>44755</v>
      </c>
      <c r="D114" s="1" t="s">
        <v>897</v>
      </c>
      <c r="E114" s="1" t="s">
        <v>898</v>
      </c>
      <c r="F114" s="1">
        <v>65</v>
      </c>
      <c r="G114" s="1" t="s">
        <v>2</v>
      </c>
      <c r="H114" s="4">
        <v>10</v>
      </c>
      <c r="I114" s="5">
        <v>0.64422602074286228</v>
      </c>
      <c r="J114">
        <f>Table_3[[#This Row],[Price of One Product]]*Table_3[[#This Row],[No of Products in one Sale]]*(1-Table_3[[#This Row],[Discount]])</f>
        <v>231.25308651713951</v>
      </c>
      <c r="O114">
        <v>231.25308651713951</v>
      </c>
      <c r="P114">
        <v>0.64422602074286228</v>
      </c>
    </row>
    <row r="115" spans="1:16" ht="14.25" customHeight="1">
      <c r="A115" s="1" t="s">
        <v>200</v>
      </c>
      <c r="B115" s="1" t="s">
        <v>885</v>
      </c>
      <c r="C115" s="3">
        <v>44755</v>
      </c>
      <c r="D115" s="1" t="s">
        <v>899</v>
      </c>
      <c r="E115" s="1" t="s">
        <v>896</v>
      </c>
      <c r="F115" s="1">
        <v>250</v>
      </c>
      <c r="G115" s="1" t="s">
        <v>3</v>
      </c>
      <c r="H115" s="4">
        <v>2</v>
      </c>
      <c r="I115" s="5">
        <v>0.76652707543193765</v>
      </c>
      <c r="J115">
        <f>Table_3[[#This Row],[Price of One Product]]*Table_3[[#This Row],[No of Products in one Sale]]*(1-Table_3[[#This Row],[Discount]])</f>
        <v>116.73646228403118</v>
      </c>
      <c r="O115">
        <v>116.73646228403118</v>
      </c>
      <c r="P115">
        <v>0.76652707543193765</v>
      </c>
    </row>
    <row r="116" spans="1:16" ht="14.25" customHeight="1">
      <c r="A116" s="1" t="s">
        <v>201</v>
      </c>
      <c r="B116" s="1" t="s">
        <v>886</v>
      </c>
      <c r="C116" s="3">
        <v>44764</v>
      </c>
      <c r="D116" s="1" t="s">
        <v>900</v>
      </c>
      <c r="E116" s="1" t="s">
        <v>896</v>
      </c>
      <c r="F116" s="1">
        <v>130</v>
      </c>
      <c r="G116" s="1" t="s">
        <v>1</v>
      </c>
      <c r="H116" s="4">
        <v>2</v>
      </c>
      <c r="I116" s="5">
        <v>0.74416329829954486</v>
      </c>
      <c r="J116">
        <f>Table_3[[#This Row],[Price of One Product]]*Table_3[[#This Row],[No of Products in one Sale]]*(1-Table_3[[#This Row],[Discount]])</f>
        <v>66.517542442118341</v>
      </c>
      <c r="O116">
        <v>66.517542442118341</v>
      </c>
      <c r="P116">
        <v>0.74416329829954486</v>
      </c>
    </row>
    <row r="117" spans="1:16" ht="14.25" customHeight="1">
      <c r="A117" s="1" t="s">
        <v>202</v>
      </c>
      <c r="B117" s="1" t="s">
        <v>883</v>
      </c>
      <c r="C117" s="3">
        <v>44735</v>
      </c>
      <c r="D117" s="1" t="s">
        <v>895</v>
      </c>
      <c r="E117" s="1" t="s">
        <v>896</v>
      </c>
      <c r="F117" s="1">
        <v>72</v>
      </c>
      <c r="G117" s="1" t="s">
        <v>2</v>
      </c>
      <c r="H117" s="4">
        <v>8</v>
      </c>
      <c r="I117" s="5">
        <v>0.48484032292333201</v>
      </c>
      <c r="J117">
        <f>Table_3[[#This Row],[Price of One Product]]*Table_3[[#This Row],[No of Products in one Sale]]*(1-Table_3[[#This Row],[Discount]])</f>
        <v>296.73197399616078</v>
      </c>
      <c r="O117">
        <v>296.73197399616078</v>
      </c>
      <c r="P117">
        <v>0.48484032292333201</v>
      </c>
    </row>
    <row r="118" spans="1:16" ht="14.25" customHeight="1">
      <c r="A118" s="1" t="s">
        <v>203</v>
      </c>
      <c r="B118" s="1" t="s">
        <v>884</v>
      </c>
      <c r="C118" s="3">
        <v>44734</v>
      </c>
      <c r="D118" s="1" t="s">
        <v>897</v>
      </c>
      <c r="E118" s="1" t="s">
        <v>896</v>
      </c>
      <c r="F118" s="1">
        <v>65</v>
      </c>
      <c r="G118" s="1" t="s">
        <v>3</v>
      </c>
      <c r="H118" s="4">
        <v>8</v>
      </c>
      <c r="I118" s="5">
        <v>0.10556900790048951</v>
      </c>
      <c r="J118">
        <f>Table_3[[#This Row],[Price of One Product]]*Table_3[[#This Row],[No of Products in one Sale]]*(1-Table_3[[#This Row],[Discount]])</f>
        <v>465.10411589174544</v>
      </c>
      <c r="O118">
        <v>465.10411589174544</v>
      </c>
      <c r="P118">
        <v>0.10556900790048951</v>
      </c>
    </row>
    <row r="119" spans="1:16" ht="14.25" customHeight="1">
      <c r="A119" s="1" t="s">
        <v>204</v>
      </c>
      <c r="B119" s="1" t="s">
        <v>885</v>
      </c>
      <c r="C119" s="3">
        <v>44728</v>
      </c>
      <c r="D119" s="1" t="s">
        <v>899</v>
      </c>
      <c r="E119" s="1" t="s">
        <v>896</v>
      </c>
      <c r="F119" s="1">
        <v>250</v>
      </c>
      <c r="G119" s="1" t="s">
        <v>1</v>
      </c>
      <c r="H119" s="4">
        <v>1</v>
      </c>
      <c r="I119" s="5">
        <v>0.35681327352398817</v>
      </c>
      <c r="J119">
        <f>Table_3[[#This Row],[Price of One Product]]*Table_3[[#This Row],[No of Products in one Sale]]*(1-Table_3[[#This Row],[Discount]])</f>
        <v>160.79668161900295</v>
      </c>
      <c r="O119">
        <v>160.79668161900295</v>
      </c>
      <c r="P119">
        <v>0.35681327352398817</v>
      </c>
    </row>
    <row r="120" spans="1:16" ht="14.25" customHeight="1">
      <c r="A120" s="1" t="s">
        <v>205</v>
      </c>
      <c r="B120" s="1" t="s">
        <v>886</v>
      </c>
      <c r="C120" s="3">
        <v>44739</v>
      </c>
      <c r="D120" s="1" t="s">
        <v>900</v>
      </c>
      <c r="E120" s="1" t="s">
        <v>896</v>
      </c>
      <c r="F120" s="1">
        <v>130</v>
      </c>
      <c r="G120" s="1" t="s">
        <v>2</v>
      </c>
      <c r="H120" s="4">
        <v>2</v>
      </c>
      <c r="I120" s="5">
        <v>0.38966155247167111</v>
      </c>
      <c r="J120">
        <f>Table_3[[#This Row],[Price of One Product]]*Table_3[[#This Row],[No of Products in one Sale]]*(1-Table_3[[#This Row],[Discount]])</f>
        <v>158.68799635736551</v>
      </c>
      <c r="O120">
        <v>158.68799635736551</v>
      </c>
      <c r="P120">
        <v>0.38966155247167111</v>
      </c>
    </row>
    <row r="121" spans="1:16" ht="14.25" customHeight="1">
      <c r="A121" s="1" t="s">
        <v>206</v>
      </c>
      <c r="B121" s="1" t="s">
        <v>887</v>
      </c>
      <c r="C121" s="3">
        <v>44765</v>
      </c>
      <c r="D121" s="1" t="s">
        <v>901</v>
      </c>
      <c r="E121" s="1" t="s">
        <v>896</v>
      </c>
      <c r="F121" s="1">
        <v>60</v>
      </c>
      <c r="G121" s="1" t="s">
        <v>3</v>
      </c>
      <c r="H121" s="4">
        <v>6</v>
      </c>
      <c r="I121" s="5">
        <v>0.27342799854809485</v>
      </c>
      <c r="J121">
        <f>Table_3[[#This Row],[Price of One Product]]*Table_3[[#This Row],[No of Products in one Sale]]*(1-Table_3[[#This Row],[Discount]])</f>
        <v>261.56592052268587</v>
      </c>
      <c r="O121">
        <v>261.56592052268587</v>
      </c>
      <c r="P121">
        <v>0.27342799854809485</v>
      </c>
    </row>
    <row r="122" spans="1:16" ht="14.25" customHeight="1">
      <c r="A122" s="1" t="s">
        <v>207</v>
      </c>
      <c r="B122" s="1" t="s">
        <v>883</v>
      </c>
      <c r="C122" s="3">
        <v>44740</v>
      </c>
      <c r="D122" s="1" t="s">
        <v>895</v>
      </c>
      <c r="E122" s="1" t="s">
        <v>896</v>
      </c>
      <c r="F122" s="1">
        <v>72</v>
      </c>
      <c r="G122" s="1" t="s">
        <v>1</v>
      </c>
      <c r="H122" s="4">
        <v>11</v>
      </c>
      <c r="I122" s="5">
        <v>0.68404340685026022</v>
      </c>
      <c r="J122">
        <f>Table_3[[#This Row],[Price of One Product]]*Table_3[[#This Row],[No of Products in one Sale]]*(1-Table_3[[#This Row],[Discount]])</f>
        <v>250.23762177459392</v>
      </c>
      <c r="O122">
        <v>250.23762177459392</v>
      </c>
      <c r="P122">
        <v>0.68404340685026022</v>
      </c>
    </row>
    <row r="123" spans="1:16" ht="14.25" customHeight="1">
      <c r="A123" s="1" t="s">
        <v>208</v>
      </c>
      <c r="B123" s="1" t="s">
        <v>884</v>
      </c>
      <c r="C123" s="3">
        <v>44734</v>
      </c>
      <c r="D123" s="1" t="s">
        <v>897</v>
      </c>
      <c r="E123" s="1" t="s">
        <v>896</v>
      </c>
      <c r="F123" s="1">
        <v>65</v>
      </c>
      <c r="G123" s="1" t="s">
        <v>2</v>
      </c>
      <c r="H123" s="4">
        <v>4</v>
      </c>
      <c r="I123" s="5">
        <v>0.30511671475159663</v>
      </c>
      <c r="J123">
        <f>Table_3[[#This Row],[Price of One Product]]*Table_3[[#This Row],[No of Products in one Sale]]*(1-Table_3[[#This Row],[Discount]])</f>
        <v>180.66965416458487</v>
      </c>
      <c r="O123">
        <v>180.66965416458487</v>
      </c>
      <c r="P123">
        <v>0.30511671475159663</v>
      </c>
    </row>
    <row r="124" spans="1:16" ht="14.25" customHeight="1">
      <c r="A124" s="1" t="s">
        <v>209</v>
      </c>
      <c r="B124" s="1" t="s">
        <v>885</v>
      </c>
      <c r="C124" s="3">
        <v>44727</v>
      </c>
      <c r="D124" s="1" t="s">
        <v>899</v>
      </c>
      <c r="E124" s="1" t="s">
        <v>898</v>
      </c>
      <c r="F124" s="1">
        <v>250</v>
      </c>
      <c r="G124" s="1" t="s">
        <v>3</v>
      </c>
      <c r="H124" s="4">
        <v>3</v>
      </c>
      <c r="I124" s="5">
        <v>0.26634683182511409</v>
      </c>
      <c r="J124">
        <f>Table_3[[#This Row],[Price of One Product]]*Table_3[[#This Row],[No of Products in one Sale]]*(1-Table_3[[#This Row],[Discount]])</f>
        <v>550.23987613116446</v>
      </c>
      <c r="O124">
        <v>550.23987613116446</v>
      </c>
      <c r="P124">
        <v>0.26634683182511409</v>
      </c>
    </row>
    <row r="125" spans="1:16" ht="14.25" customHeight="1">
      <c r="A125" s="1" t="s">
        <v>210</v>
      </c>
      <c r="B125" s="1" t="s">
        <v>886</v>
      </c>
      <c r="C125" s="3">
        <v>44737</v>
      </c>
      <c r="D125" s="1" t="s">
        <v>900</v>
      </c>
      <c r="E125" s="1" t="s">
        <v>896</v>
      </c>
      <c r="F125" s="1">
        <v>130</v>
      </c>
      <c r="G125" s="1" t="s">
        <v>1</v>
      </c>
      <c r="H125" s="4">
        <v>2</v>
      </c>
      <c r="I125" s="5">
        <v>0.95598379426073032</v>
      </c>
      <c r="J125">
        <f>Table_3[[#This Row],[Price of One Product]]*Table_3[[#This Row],[No of Products in one Sale]]*(1-Table_3[[#This Row],[Discount]])</f>
        <v>11.444213492210116</v>
      </c>
      <c r="O125">
        <v>11.444213492210116</v>
      </c>
      <c r="P125">
        <v>0.95598379426073032</v>
      </c>
    </row>
    <row r="126" spans="1:16" ht="14.25" customHeight="1">
      <c r="A126" s="1" t="s">
        <v>211</v>
      </c>
      <c r="B126" s="1" t="s">
        <v>883</v>
      </c>
      <c r="C126" s="3">
        <v>44747</v>
      </c>
      <c r="D126" s="1" t="s">
        <v>895</v>
      </c>
      <c r="E126" s="1" t="s">
        <v>896</v>
      </c>
      <c r="F126" s="1">
        <v>72</v>
      </c>
      <c r="G126" s="1" t="s">
        <v>2</v>
      </c>
      <c r="H126" s="4">
        <v>3</v>
      </c>
      <c r="I126" s="5">
        <v>0.78465682989488972</v>
      </c>
      <c r="J126">
        <f>Table_3[[#This Row],[Price of One Product]]*Table_3[[#This Row],[No of Products in one Sale]]*(1-Table_3[[#This Row],[Discount]])</f>
        <v>46.514124742703821</v>
      </c>
      <c r="O126">
        <v>46.514124742703821</v>
      </c>
      <c r="P126">
        <v>0.78465682989488972</v>
      </c>
    </row>
    <row r="127" spans="1:16" ht="14.25" customHeight="1">
      <c r="A127" s="1" t="s">
        <v>212</v>
      </c>
      <c r="B127" s="1" t="s">
        <v>884</v>
      </c>
      <c r="C127" s="3">
        <v>44754</v>
      </c>
      <c r="D127" s="1" t="s">
        <v>897</v>
      </c>
      <c r="E127" s="1" t="s">
        <v>896</v>
      </c>
      <c r="F127" s="1">
        <v>65</v>
      </c>
      <c r="G127" s="1" t="s">
        <v>3</v>
      </c>
      <c r="H127" s="4">
        <v>4</v>
      </c>
      <c r="I127" s="5">
        <v>0.92531650826605816</v>
      </c>
      <c r="J127">
        <f>Table_3[[#This Row],[Price of One Product]]*Table_3[[#This Row],[No of Products in one Sale]]*(1-Table_3[[#This Row],[Discount]])</f>
        <v>19.417707850824879</v>
      </c>
      <c r="O127">
        <v>19.417707850824879</v>
      </c>
      <c r="P127">
        <v>0.92531650826605816</v>
      </c>
    </row>
    <row r="128" spans="1:16" ht="14.25" customHeight="1">
      <c r="A128" s="1" t="s">
        <v>213</v>
      </c>
      <c r="B128" s="1" t="s">
        <v>885</v>
      </c>
      <c r="C128" s="3">
        <v>44760</v>
      </c>
      <c r="D128" s="1" t="s">
        <v>899</v>
      </c>
      <c r="E128" s="1" t="s">
        <v>896</v>
      </c>
      <c r="F128" s="1">
        <v>250</v>
      </c>
      <c r="G128" s="1" t="s">
        <v>1</v>
      </c>
      <c r="H128" s="4">
        <v>3</v>
      </c>
      <c r="I128" s="5">
        <v>0.91314982692991542</v>
      </c>
      <c r="J128">
        <f>Table_3[[#This Row],[Price of One Product]]*Table_3[[#This Row],[No of Products in one Sale]]*(1-Table_3[[#This Row],[Discount]])</f>
        <v>65.137629802563438</v>
      </c>
      <c r="O128">
        <v>65.137629802563438</v>
      </c>
      <c r="P128">
        <v>0.91314982692991542</v>
      </c>
    </row>
    <row r="129" spans="1:16" ht="14.25" customHeight="1">
      <c r="A129" s="1" t="s">
        <v>214</v>
      </c>
      <c r="B129" s="1" t="s">
        <v>886</v>
      </c>
      <c r="C129" s="3">
        <v>44759</v>
      </c>
      <c r="D129" s="1" t="s">
        <v>900</v>
      </c>
      <c r="E129" s="1" t="s">
        <v>896</v>
      </c>
      <c r="F129" s="1">
        <v>130</v>
      </c>
      <c r="G129" s="1" t="s">
        <v>2</v>
      </c>
      <c r="H129" s="4">
        <v>2</v>
      </c>
      <c r="I129" s="5">
        <v>8.4586093307030152E-2</v>
      </c>
      <c r="J129">
        <f>Table_3[[#This Row],[Price of One Product]]*Table_3[[#This Row],[No of Products in one Sale]]*(1-Table_3[[#This Row],[Discount]])</f>
        <v>238.00761574017216</v>
      </c>
      <c r="O129">
        <v>238.00761574017216</v>
      </c>
      <c r="P129">
        <v>8.4586093307030152E-2</v>
      </c>
    </row>
    <row r="130" spans="1:16" ht="14.25" customHeight="1">
      <c r="A130" s="1" t="s">
        <v>215</v>
      </c>
      <c r="B130" s="1" t="s">
        <v>887</v>
      </c>
      <c r="C130" s="3">
        <v>44735</v>
      </c>
      <c r="D130" s="1" t="s">
        <v>901</v>
      </c>
      <c r="E130" s="1" t="s">
        <v>898</v>
      </c>
      <c r="F130" s="1">
        <v>60</v>
      </c>
      <c r="G130" s="1" t="s">
        <v>3</v>
      </c>
      <c r="H130" s="4">
        <v>7</v>
      </c>
      <c r="I130" s="5">
        <v>0.92983220282837542</v>
      </c>
      <c r="J130">
        <f>Table_3[[#This Row],[Price of One Product]]*Table_3[[#This Row],[No of Products in one Sale]]*(1-Table_3[[#This Row],[Discount]])</f>
        <v>29.470474812082323</v>
      </c>
      <c r="O130">
        <v>29.470474812082323</v>
      </c>
      <c r="P130">
        <v>0.92983220282837542</v>
      </c>
    </row>
    <row r="131" spans="1:16" ht="14.25" customHeight="1">
      <c r="A131" s="1" t="s">
        <v>216</v>
      </c>
      <c r="B131" s="1" t="s">
        <v>888</v>
      </c>
      <c r="C131" s="3">
        <v>44734</v>
      </c>
      <c r="D131" s="1" t="s">
        <v>902</v>
      </c>
      <c r="E131" s="1" t="s">
        <v>896</v>
      </c>
      <c r="F131" s="1">
        <v>95</v>
      </c>
      <c r="G131" s="1" t="s">
        <v>1</v>
      </c>
      <c r="H131" s="4">
        <v>6</v>
      </c>
      <c r="I131" s="5">
        <v>0.13029960752667558</v>
      </c>
      <c r="J131">
        <f>Table_3[[#This Row],[Price of One Product]]*Table_3[[#This Row],[No of Products in one Sale]]*(1-Table_3[[#This Row],[Discount]])</f>
        <v>495.72922370979489</v>
      </c>
      <c r="O131">
        <v>495.72922370979489</v>
      </c>
      <c r="P131">
        <v>0.13029960752667558</v>
      </c>
    </row>
    <row r="132" spans="1:16" ht="14.25" customHeight="1">
      <c r="A132" s="1" t="s">
        <v>217</v>
      </c>
      <c r="B132" s="1" t="s">
        <v>883</v>
      </c>
      <c r="C132" s="3">
        <v>44753</v>
      </c>
      <c r="D132" s="1" t="s">
        <v>895</v>
      </c>
      <c r="E132" s="1" t="s">
        <v>896</v>
      </c>
      <c r="F132" s="1">
        <v>72</v>
      </c>
      <c r="G132" s="1" t="s">
        <v>2</v>
      </c>
      <c r="H132" s="4">
        <v>6</v>
      </c>
      <c r="I132" s="5">
        <v>0.41456728266200249</v>
      </c>
      <c r="J132">
        <f>Table_3[[#This Row],[Price of One Product]]*Table_3[[#This Row],[No of Products in one Sale]]*(1-Table_3[[#This Row],[Discount]])</f>
        <v>252.90693389001493</v>
      </c>
      <c r="O132">
        <v>252.90693389001493</v>
      </c>
      <c r="P132">
        <v>0.41456728266200249</v>
      </c>
    </row>
    <row r="133" spans="1:16" ht="14.25" customHeight="1">
      <c r="A133" s="1" t="s">
        <v>218</v>
      </c>
      <c r="B133" s="1" t="s">
        <v>884</v>
      </c>
      <c r="C133" s="3">
        <v>44739</v>
      </c>
      <c r="D133" s="1" t="s">
        <v>897</v>
      </c>
      <c r="E133" s="1" t="s">
        <v>896</v>
      </c>
      <c r="F133" s="1">
        <v>65</v>
      </c>
      <c r="G133" s="1" t="s">
        <v>3</v>
      </c>
      <c r="H133" s="4">
        <v>8</v>
      </c>
      <c r="I133" s="5">
        <v>0.77953807822657883</v>
      </c>
      <c r="J133">
        <f>Table_3[[#This Row],[Price of One Product]]*Table_3[[#This Row],[No of Products in one Sale]]*(1-Table_3[[#This Row],[Discount]])</f>
        <v>114.640199322179</v>
      </c>
      <c r="O133">
        <v>114.640199322179</v>
      </c>
      <c r="P133">
        <v>0.77953807822657883</v>
      </c>
    </row>
    <row r="134" spans="1:16" ht="14.25" customHeight="1">
      <c r="A134" s="1" t="s">
        <v>219</v>
      </c>
      <c r="B134" s="1" t="s">
        <v>885</v>
      </c>
      <c r="C134" s="3">
        <v>44740</v>
      </c>
      <c r="D134" s="1" t="s">
        <v>899</v>
      </c>
      <c r="E134" s="1" t="s">
        <v>898</v>
      </c>
      <c r="F134" s="1">
        <v>250</v>
      </c>
      <c r="G134" s="1" t="s">
        <v>1</v>
      </c>
      <c r="H134" s="4">
        <v>3</v>
      </c>
      <c r="I134" s="5">
        <v>0.56602493379943331</v>
      </c>
      <c r="J134">
        <f>Table_3[[#This Row],[Price of One Product]]*Table_3[[#This Row],[No of Products in one Sale]]*(1-Table_3[[#This Row],[Discount]])</f>
        <v>325.481299650425</v>
      </c>
      <c r="O134">
        <v>325.481299650425</v>
      </c>
      <c r="P134">
        <v>0.56602493379943331</v>
      </c>
    </row>
    <row r="135" spans="1:16" ht="14.25" customHeight="1">
      <c r="A135" s="1" t="s">
        <v>220</v>
      </c>
      <c r="B135" s="1" t="s">
        <v>886</v>
      </c>
      <c r="C135" s="3">
        <v>44748</v>
      </c>
      <c r="D135" s="1" t="s">
        <v>900</v>
      </c>
      <c r="E135" s="1" t="s">
        <v>898</v>
      </c>
      <c r="F135" s="1">
        <v>130</v>
      </c>
      <c r="G135" s="1" t="s">
        <v>2</v>
      </c>
      <c r="H135" s="4">
        <v>2</v>
      </c>
      <c r="I135" s="5">
        <v>0.7922771947085826</v>
      </c>
      <c r="J135">
        <f>Table_3[[#This Row],[Price of One Product]]*Table_3[[#This Row],[No of Products in one Sale]]*(1-Table_3[[#This Row],[Discount]])</f>
        <v>54.007929375768526</v>
      </c>
      <c r="O135">
        <v>54.007929375768526</v>
      </c>
      <c r="P135">
        <v>0.7922771947085826</v>
      </c>
    </row>
    <row r="136" spans="1:16" ht="14.25" customHeight="1">
      <c r="A136" s="1" t="s">
        <v>221</v>
      </c>
      <c r="B136" s="1" t="s">
        <v>883</v>
      </c>
      <c r="C136" s="3">
        <v>44731</v>
      </c>
      <c r="D136" s="1" t="s">
        <v>895</v>
      </c>
      <c r="E136" s="1" t="s">
        <v>898</v>
      </c>
      <c r="F136" s="1">
        <v>72</v>
      </c>
      <c r="G136" s="1" t="s">
        <v>3</v>
      </c>
      <c r="H136" s="4">
        <v>9</v>
      </c>
      <c r="I136" s="5">
        <v>9.6806596410280221E-2</v>
      </c>
      <c r="J136">
        <f>Table_3[[#This Row],[Price of One Product]]*Table_3[[#This Row],[No of Products in one Sale]]*(1-Table_3[[#This Row],[Discount]])</f>
        <v>585.26932552613846</v>
      </c>
      <c r="O136">
        <v>585.26932552613846</v>
      </c>
      <c r="P136">
        <v>9.6806596410280221E-2</v>
      </c>
    </row>
    <row r="137" spans="1:16" ht="14.25" customHeight="1">
      <c r="A137" s="1" t="s">
        <v>222</v>
      </c>
      <c r="B137" s="1" t="s">
        <v>884</v>
      </c>
      <c r="C137" s="3">
        <v>44763</v>
      </c>
      <c r="D137" s="1" t="s">
        <v>897</v>
      </c>
      <c r="E137" s="1" t="s">
        <v>898</v>
      </c>
      <c r="F137" s="1">
        <v>65</v>
      </c>
      <c r="G137" s="1" t="s">
        <v>1</v>
      </c>
      <c r="H137" s="4">
        <v>8</v>
      </c>
      <c r="I137" s="5">
        <v>0.10738058788365801</v>
      </c>
      <c r="J137">
        <f>Table_3[[#This Row],[Price of One Product]]*Table_3[[#This Row],[No of Products in one Sale]]*(1-Table_3[[#This Row],[Discount]])</f>
        <v>464.16209430049781</v>
      </c>
      <c r="O137">
        <v>464.16209430049781</v>
      </c>
      <c r="P137">
        <v>0.10738058788365801</v>
      </c>
    </row>
    <row r="138" spans="1:16" ht="14.25" customHeight="1">
      <c r="A138" s="1" t="s">
        <v>223</v>
      </c>
      <c r="B138" s="1" t="s">
        <v>885</v>
      </c>
      <c r="C138" s="3">
        <v>44733</v>
      </c>
      <c r="D138" s="1" t="s">
        <v>899</v>
      </c>
      <c r="E138" s="1" t="s">
        <v>898</v>
      </c>
      <c r="F138" s="1">
        <v>250</v>
      </c>
      <c r="G138" s="1" t="s">
        <v>2</v>
      </c>
      <c r="H138" s="4">
        <v>1</v>
      </c>
      <c r="I138" s="5">
        <v>0.68298720032284699</v>
      </c>
      <c r="J138">
        <f>Table_3[[#This Row],[Price of One Product]]*Table_3[[#This Row],[No of Products in one Sale]]*(1-Table_3[[#This Row],[Discount]])</f>
        <v>79.253199919288249</v>
      </c>
      <c r="O138">
        <v>79.253199919288249</v>
      </c>
      <c r="P138">
        <v>0.68298720032284699</v>
      </c>
    </row>
    <row r="139" spans="1:16" ht="14.25" customHeight="1">
      <c r="A139" s="1" t="s">
        <v>224</v>
      </c>
      <c r="B139" s="1" t="s">
        <v>886</v>
      </c>
      <c r="C139" s="3">
        <v>44746</v>
      </c>
      <c r="D139" s="1" t="s">
        <v>900</v>
      </c>
      <c r="E139" s="1" t="s">
        <v>898</v>
      </c>
      <c r="F139" s="1">
        <v>130</v>
      </c>
      <c r="G139" s="1" t="s">
        <v>3</v>
      </c>
      <c r="H139" s="4">
        <v>2</v>
      </c>
      <c r="I139" s="5">
        <v>8.8476327566971991E-2</v>
      </c>
      <c r="J139">
        <f>Table_3[[#This Row],[Price of One Product]]*Table_3[[#This Row],[No of Products in one Sale]]*(1-Table_3[[#This Row],[Discount]])</f>
        <v>236.99615483258728</v>
      </c>
      <c r="O139">
        <v>236.99615483258728</v>
      </c>
      <c r="P139">
        <v>8.8476327566971991E-2</v>
      </c>
    </row>
    <row r="140" spans="1:16" ht="14.25" customHeight="1">
      <c r="A140" s="1" t="s">
        <v>225</v>
      </c>
      <c r="B140" s="1" t="s">
        <v>883</v>
      </c>
      <c r="C140" s="3">
        <v>44755</v>
      </c>
      <c r="D140" s="1" t="s">
        <v>895</v>
      </c>
      <c r="E140" s="1" t="s">
        <v>896</v>
      </c>
      <c r="F140" s="1">
        <v>72</v>
      </c>
      <c r="G140" s="1" t="s">
        <v>3</v>
      </c>
      <c r="H140" s="4">
        <v>9</v>
      </c>
      <c r="I140" s="5">
        <v>0.12263076179640997</v>
      </c>
      <c r="J140">
        <f>Table_3[[#This Row],[Price of One Product]]*Table_3[[#This Row],[No of Products in one Sale]]*(1-Table_3[[#This Row],[Discount]])</f>
        <v>568.5352663559263</v>
      </c>
      <c r="O140">
        <v>568.5352663559263</v>
      </c>
      <c r="P140">
        <v>0.12263076179640997</v>
      </c>
    </row>
    <row r="141" spans="1:16" ht="14.25" customHeight="1">
      <c r="A141" s="1" t="s">
        <v>226</v>
      </c>
      <c r="B141" s="1" t="s">
        <v>884</v>
      </c>
      <c r="C141" s="3">
        <v>44755</v>
      </c>
      <c r="D141" s="1" t="s">
        <v>897</v>
      </c>
      <c r="E141" s="1" t="s">
        <v>898</v>
      </c>
      <c r="F141" s="1">
        <v>65</v>
      </c>
      <c r="G141" s="1" t="s">
        <v>1</v>
      </c>
      <c r="H141" s="4">
        <v>7</v>
      </c>
      <c r="I141" s="5">
        <v>0.21348123854438894</v>
      </c>
      <c r="J141">
        <f>Table_3[[#This Row],[Price of One Product]]*Table_3[[#This Row],[No of Products in one Sale]]*(1-Table_3[[#This Row],[Discount]])</f>
        <v>357.86603646230304</v>
      </c>
      <c r="O141">
        <v>357.86603646230304</v>
      </c>
      <c r="P141">
        <v>0.21348123854438894</v>
      </c>
    </row>
    <row r="142" spans="1:16" ht="14.25" customHeight="1">
      <c r="A142" s="1" t="s">
        <v>227</v>
      </c>
      <c r="B142" s="1" t="s">
        <v>885</v>
      </c>
      <c r="C142" s="3">
        <v>44727</v>
      </c>
      <c r="D142" s="1" t="s">
        <v>899</v>
      </c>
      <c r="E142" s="1" t="s">
        <v>896</v>
      </c>
      <c r="F142" s="1">
        <v>250</v>
      </c>
      <c r="G142" s="1" t="s">
        <v>2</v>
      </c>
      <c r="H142" s="4">
        <v>3</v>
      </c>
      <c r="I142" s="5">
        <v>0.51777110877083832</v>
      </c>
      <c r="J142">
        <f>Table_3[[#This Row],[Price of One Product]]*Table_3[[#This Row],[No of Products in one Sale]]*(1-Table_3[[#This Row],[Discount]])</f>
        <v>361.67166842187129</v>
      </c>
      <c r="O142">
        <v>361.67166842187129</v>
      </c>
      <c r="P142">
        <v>0.51777110877083832</v>
      </c>
    </row>
    <row r="143" spans="1:16" ht="14.25" customHeight="1">
      <c r="A143" s="1" t="s">
        <v>228</v>
      </c>
      <c r="B143" s="1" t="s">
        <v>886</v>
      </c>
      <c r="C143" s="3">
        <v>44746</v>
      </c>
      <c r="D143" s="1" t="s">
        <v>900</v>
      </c>
      <c r="E143" s="1" t="s">
        <v>898</v>
      </c>
      <c r="F143" s="1">
        <v>130</v>
      </c>
      <c r="G143" s="1" t="s">
        <v>3</v>
      </c>
      <c r="H143" s="4">
        <v>3</v>
      </c>
      <c r="I143" s="5">
        <v>0.2471412366587864</v>
      </c>
      <c r="J143">
        <f>Table_3[[#This Row],[Price of One Product]]*Table_3[[#This Row],[No of Products in one Sale]]*(1-Table_3[[#This Row],[Discount]])</f>
        <v>293.61491770307333</v>
      </c>
      <c r="O143">
        <v>293.61491770307333</v>
      </c>
      <c r="P143">
        <v>0.2471412366587864</v>
      </c>
    </row>
    <row r="144" spans="1:16" ht="14.25" customHeight="1">
      <c r="A144" s="1" t="s">
        <v>229</v>
      </c>
      <c r="B144" s="1" t="s">
        <v>883</v>
      </c>
      <c r="C144" s="3">
        <v>44740</v>
      </c>
      <c r="D144" s="1" t="s">
        <v>895</v>
      </c>
      <c r="E144" s="1" t="s">
        <v>896</v>
      </c>
      <c r="F144" s="1">
        <v>72</v>
      </c>
      <c r="G144" s="1" t="s">
        <v>1</v>
      </c>
      <c r="H144" s="4">
        <v>4</v>
      </c>
      <c r="I144" s="5">
        <v>0.74108890181243625</v>
      </c>
      <c r="J144">
        <f>Table_3[[#This Row],[Price of One Product]]*Table_3[[#This Row],[No of Products in one Sale]]*(1-Table_3[[#This Row],[Discount]])</f>
        <v>74.56639627801836</v>
      </c>
      <c r="O144">
        <v>74.56639627801836</v>
      </c>
      <c r="P144">
        <v>0.74108890181243625</v>
      </c>
    </row>
    <row r="145" spans="1:16" ht="14.25" customHeight="1">
      <c r="A145" s="1" t="s">
        <v>230</v>
      </c>
      <c r="B145" s="1" t="s">
        <v>884</v>
      </c>
      <c r="C145" s="3">
        <v>44743</v>
      </c>
      <c r="D145" s="1" t="s">
        <v>897</v>
      </c>
      <c r="E145" s="1" t="s">
        <v>898</v>
      </c>
      <c r="F145" s="1">
        <v>65</v>
      </c>
      <c r="G145" s="1" t="s">
        <v>2</v>
      </c>
      <c r="H145" s="4">
        <v>5</v>
      </c>
      <c r="I145" s="5">
        <v>0.7589550474918334</v>
      </c>
      <c r="J145">
        <f>Table_3[[#This Row],[Price of One Product]]*Table_3[[#This Row],[No of Products in one Sale]]*(1-Table_3[[#This Row],[Discount]])</f>
        <v>78.339609565154149</v>
      </c>
      <c r="O145">
        <v>78.339609565154149</v>
      </c>
      <c r="P145">
        <v>0.7589550474918334</v>
      </c>
    </row>
    <row r="146" spans="1:16" ht="14.25" customHeight="1">
      <c r="A146" s="1" t="s">
        <v>231</v>
      </c>
      <c r="B146" s="1" t="s">
        <v>885</v>
      </c>
      <c r="C146" s="3">
        <v>44737</v>
      </c>
      <c r="D146" s="1" t="s">
        <v>899</v>
      </c>
      <c r="E146" s="1" t="s">
        <v>896</v>
      </c>
      <c r="F146" s="1">
        <v>250</v>
      </c>
      <c r="G146" s="1" t="s">
        <v>3</v>
      </c>
      <c r="H146" s="4">
        <v>4</v>
      </c>
      <c r="I146" s="5">
        <v>0.39519452416647527</v>
      </c>
      <c r="J146">
        <f>Table_3[[#This Row],[Price of One Product]]*Table_3[[#This Row],[No of Products in one Sale]]*(1-Table_3[[#This Row],[Discount]])</f>
        <v>604.80547583352472</v>
      </c>
      <c r="O146">
        <v>604.80547583352472</v>
      </c>
      <c r="P146">
        <v>0.39519452416647527</v>
      </c>
    </row>
    <row r="147" spans="1:16" ht="14.25" customHeight="1">
      <c r="A147" s="1" t="s">
        <v>232</v>
      </c>
      <c r="B147" s="1" t="s">
        <v>886</v>
      </c>
      <c r="C147" s="3">
        <v>44757</v>
      </c>
      <c r="D147" s="1" t="s">
        <v>900</v>
      </c>
      <c r="E147" s="1" t="s">
        <v>898</v>
      </c>
      <c r="F147" s="1">
        <v>130</v>
      </c>
      <c r="G147" s="1" t="s">
        <v>1</v>
      </c>
      <c r="H147" s="4">
        <v>5</v>
      </c>
      <c r="I147" s="5">
        <v>2.5857814158937731E-2</v>
      </c>
      <c r="J147">
        <f>Table_3[[#This Row],[Price of One Product]]*Table_3[[#This Row],[No of Products in one Sale]]*(1-Table_3[[#This Row],[Discount]])</f>
        <v>633.1924207966905</v>
      </c>
      <c r="O147">
        <v>633.1924207966905</v>
      </c>
      <c r="P147">
        <v>2.5857814158937731E-2</v>
      </c>
    </row>
    <row r="148" spans="1:16" ht="14.25" customHeight="1">
      <c r="A148" s="1" t="s">
        <v>233</v>
      </c>
      <c r="B148" s="1" t="s">
        <v>887</v>
      </c>
      <c r="C148" s="3">
        <v>44745</v>
      </c>
      <c r="D148" s="1" t="s">
        <v>901</v>
      </c>
      <c r="E148" s="1" t="s">
        <v>896</v>
      </c>
      <c r="F148" s="1">
        <v>60</v>
      </c>
      <c r="G148" s="1" t="s">
        <v>2</v>
      </c>
      <c r="H148" s="4">
        <v>10</v>
      </c>
      <c r="I148" s="5">
        <v>0.35224195755599907</v>
      </c>
      <c r="J148">
        <f>Table_3[[#This Row],[Price of One Product]]*Table_3[[#This Row],[No of Products in one Sale]]*(1-Table_3[[#This Row],[Discount]])</f>
        <v>388.65482546640055</v>
      </c>
      <c r="O148">
        <v>388.65482546640055</v>
      </c>
      <c r="P148">
        <v>0.35224195755599907</v>
      </c>
    </row>
    <row r="149" spans="1:16" ht="14.25" customHeight="1">
      <c r="A149" s="1" t="s">
        <v>234</v>
      </c>
      <c r="B149" s="1" t="s">
        <v>883</v>
      </c>
      <c r="C149" s="3">
        <v>44760</v>
      </c>
      <c r="D149" s="1" t="s">
        <v>895</v>
      </c>
      <c r="E149" s="1" t="s">
        <v>898</v>
      </c>
      <c r="F149" s="1">
        <v>72</v>
      </c>
      <c r="G149" s="1" t="s">
        <v>3</v>
      </c>
      <c r="H149" s="4">
        <v>12</v>
      </c>
      <c r="I149" s="5">
        <v>4.2934737769464881E-2</v>
      </c>
      <c r="J149">
        <f>Table_3[[#This Row],[Price of One Product]]*Table_3[[#This Row],[No of Products in one Sale]]*(1-Table_3[[#This Row],[Discount]])</f>
        <v>826.90438656718231</v>
      </c>
      <c r="O149">
        <v>826.90438656718231</v>
      </c>
      <c r="P149">
        <v>4.2934737769464881E-2</v>
      </c>
    </row>
    <row r="150" spans="1:16" ht="14.25" customHeight="1">
      <c r="A150" s="1" t="s">
        <v>235</v>
      </c>
      <c r="B150" s="1" t="s">
        <v>884</v>
      </c>
      <c r="C150" s="3">
        <v>44750</v>
      </c>
      <c r="D150" s="1" t="s">
        <v>897</v>
      </c>
      <c r="E150" s="1" t="s">
        <v>896</v>
      </c>
      <c r="F150" s="1">
        <v>65</v>
      </c>
      <c r="G150" s="1" t="s">
        <v>1</v>
      </c>
      <c r="H150" s="4">
        <v>12</v>
      </c>
      <c r="I150" s="5">
        <v>6.8824781708392013E-3</v>
      </c>
      <c r="J150">
        <f>Table_3[[#This Row],[Price of One Product]]*Table_3[[#This Row],[No of Products in one Sale]]*(1-Table_3[[#This Row],[Discount]])</f>
        <v>774.63166702674539</v>
      </c>
      <c r="O150">
        <v>774.63166702674539</v>
      </c>
      <c r="P150">
        <v>6.8824781708392013E-3</v>
      </c>
    </row>
    <row r="151" spans="1:16" ht="14.25" customHeight="1">
      <c r="A151" s="1" t="s">
        <v>236</v>
      </c>
      <c r="B151" s="1" t="s">
        <v>885</v>
      </c>
      <c r="C151" s="3">
        <v>44742</v>
      </c>
      <c r="D151" s="1" t="s">
        <v>899</v>
      </c>
      <c r="E151" s="1" t="s">
        <v>898</v>
      </c>
      <c r="F151" s="1">
        <v>250</v>
      </c>
      <c r="G151" s="1" t="s">
        <v>2</v>
      </c>
      <c r="H151" s="4">
        <v>1</v>
      </c>
      <c r="I151" s="5">
        <v>0.8553400747255635</v>
      </c>
      <c r="J151">
        <f>Table_3[[#This Row],[Price of One Product]]*Table_3[[#This Row],[No of Products in one Sale]]*(1-Table_3[[#This Row],[Discount]])</f>
        <v>36.164981318609122</v>
      </c>
      <c r="O151">
        <v>36.164981318609122</v>
      </c>
      <c r="P151">
        <v>0.8553400747255635</v>
      </c>
    </row>
    <row r="152" spans="1:16" ht="14.25" customHeight="1">
      <c r="A152" s="1" t="s">
        <v>237</v>
      </c>
      <c r="B152" s="1" t="s">
        <v>886</v>
      </c>
      <c r="C152" s="3">
        <v>44754</v>
      </c>
      <c r="D152" s="1" t="s">
        <v>900</v>
      </c>
      <c r="E152" s="1" t="s">
        <v>896</v>
      </c>
      <c r="F152" s="1">
        <v>130</v>
      </c>
      <c r="G152" s="1" t="s">
        <v>3</v>
      </c>
      <c r="H152" s="4">
        <v>6</v>
      </c>
      <c r="I152" s="5">
        <v>0.62107648533214554</v>
      </c>
      <c r="J152">
        <f>Table_3[[#This Row],[Price of One Product]]*Table_3[[#This Row],[No of Products in one Sale]]*(1-Table_3[[#This Row],[Discount]])</f>
        <v>295.56034144092649</v>
      </c>
      <c r="O152">
        <v>295.56034144092649</v>
      </c>
      <c r="P152">
        <v>0.62107648533214554</v>
      </c>
    </row>
    <row r="153" spans="1:16" ht="14.25" customHeight="1">
      <c r="A153" s="1" t="s">
        <v>238</v>
      </c>
      <c r="B153" s="1" t="s">
        <v>883</v>
      </c>
      <c r="C153" s="3">
        <v>44746</v>
      </c>
      <c r="D153" s="1" t="s">
        <v>895</v>
      </c>
      <c r="E153" s="1" t="s">
        <v>898</v>
      </c>
      <c r="F153" s="1">
        <v>72</v>
      </c>
      <c r="G153" s="1" t="s">
        <v>1</v>
      </c>
      <c r="H153" s="4">
        <v>3</v>
      </c>
      <c r="I153" s="5">
        <v>0.93819201157518672</v>
      </c>
      <c r="J153">
        <f>Table_3[[#This Row],[Price of One Product]]*Table_3[[#This Row],[No of Products in one Sale]]*(1-Table_3[[#This Row],[Discount]])</f>
        <v>13.350525499759668</v>
      </c>
      <c r="O153">
        <v>13.350525499759668</v>
      </c>
      <c r="P153">
        <v>0.93819201157518672</v>
      </c>
    </row>
    <row r="154" spans="1:16" ht="14.25" customHeight="1">
      <c r="A154" s="1" t="s">
        <v>239</v>
      </c>
      <c r="B154" s="1" t="s">
        <v>884</v>
      </c>
      <c r="C154" s="3">
        <v>44752</v>
      </c>
      <c r="D154" s="1" t="s">
        <v>897</v>
      </c>
      <c r="E154" s="1" t="s">
        <v>896</v>
      </c>
      <c r="F154" s="1">
        <v>65</v>
      </c>
      <c r="G154" s="1" t="s">
        <v>2</v>
      </c>
      <c r="H154" s="4">
        <v>12</v>
      </c>
      <c r="I154" s="5">
        <v>0.97731506347213748</v>
      </c>
      <c r="J154">
        <f>Table_3[[#This Row],[Price of One Product]]*Table_3[[#This Row],[No of Products in one Sale]]*(1-Table_3[[#This Row],[Discount]])</f>
        <v>17.694250491732767</v>
      </c>
      <c r="O154">
        <v>17.694250491732767</v>
      </c>
      <c r="P154">
        <v>0.97731506347213748</v>
      </c>
    </row>
    <row r="155" spans="1:16" ht="14.25" customHeight="1">
      <c r="A155" s="1" t="s">
        <v>240</v>
      </c>
      <c r="B155" s="1" t="s">
        <v>885</v>
      </c>
      <c r="C155" s="3">
        <v>44725</v>
      </c>
      <c r="D155" s="1" t="s">
        <v>899</v>
      </c>
      <c r="E155" s="1" t="s">
        <v>898</v>
      </c>
      <c r="F155" s="1">
        <v>250</v>
      </c>
      <c r="G155" s="1" t="s">
        <v>3</v>
      </c>
      <c r="H155" s="4">
        <v>3</v>
      </c>
      <c r="I155" s="5">
        <v>0.93618769203099483</v>
      </c>
      <c r="J155">
        <f>Table_3[[#This Row],[Price of One Product]]*Table_3[[#This Row],[No of Products in one Sale]]*(1-Table_3[[#This Row],[Discount]])</f>
        <v>47.859230976753878</v>
      </c>
      <c r="O155">
        <v>47.859230976753878</v>
      </c>
      <c r="P155">
        <v>0.93618769203099483</v>
      </c>
    </row>
    <row r="156" spans="1:16" ht="14.25" customHeight="1">
      <c r="A156" s="1" t="s">
        <v>241</v>
      </c>
      <c r="B156" s="1" t="s">
        <v>886</v>
      </c>
      <c r="C156" s="3">
        <v>44734</v>
      </c>
      <c r="D156" s="1" t="s">
        <v>900</v>
      </c>
      <c r="E156" s="1" t="s">
        <v>896</v>
      </c>
      <c r="F156" s="1">
        <v>130</v>
      </c>
      <c r="G156" s="1" t="s">
        <v>1</v>
      </c>
      <c r="H156" s="4">
        <v>5</v>
      </c>
      <c r="I156" s="5">
        <v>0.92747059451906588</v>
      </c>
      <c r="J156">
        <f>Table_3[[#This Row],[Price of One Product]]*Table_3[[#This Row],[No of Products in one Sale]]*(1-Table_3[[#This Row],[Discount]])</f>
        <v>47.144113562607174</v>
      </c>
      <c r="O156">
        <v>47.144113562607174</v>
      </c>
      <c r="P156">
        <v>0.92747059451906588</v>
      </c>
    </row>
    <row r="157" spans="1:16" ht="14.25" customHeight="1">
      <c r="A157" s="1" t="s">
        <v>242</v>
      </c>
      <c r="B157" s="1" t="s">
        <v>887</v>
      </c>
      <c r="C157" s="3">
        <v>44761</v>
      </c>
      <c r="D157" s="1" t="s">
        <v>901</v>
      </c>
      <c r="E157" s="1" t="s">
        <v>896</v>
      </c>
      <c r="F157" s="1">
        <v>60</v>
      </c>
      <c r="G157" s="1" t="s">
        <v>2</v>
      </c>
      <c r="H157" s="4">
        <v>8</v>
      </c>
      <c r="I157" s="5">
        <v>9.8331104648150314E-2</v>
      </c>
      <c r="J157">
        <f>Table_3[[#This Row],[Price of One Product]]*Table_3[[#This Row],[No of Products in one Sale]]*(1-Table_3[[#This Row],[Discount]])</f>
        <v>432.80106976888783</v>
      </c>
      <c r="O157">
        <v>432.80106976888783</v>
      </c>
      <c r="P157">
        <v>9.8331104648150314E-2</v>
      </c>
    </row>
    <row r="158" spans="1:16" ht="14.25" customHeight="1">
      <c r="A158" s="1" t="s">
        <v>243</v>
      </c>
      <c r="B158" s="1" t="s">
        <v>888</v>
      </c>
      <c r="C158" s="3">
        <v>44735</v>
      </c>
      <c r="D158" s="1" t="s">
        <v>902</v>
      </c>
      <c r="E158" s="1" t="s">
        <v>898</v>
      </c>
      <c r="F158" s="1">
        <v>95</v>
      </c>
      <c r="G158" s="1" t="s">
        <v>3</v>
      </c>
      <c r="H158" s="4">
        <v>5</v>
      </c>
      <c r="I158" s="5">
        <v>4.5012478047171678E-3</v>
      </c>
      <c r="J158">
        <f>Table_3[[#This Row],[Price of One Product]]*Table_3[[#This Row],[No of Products in one Sale]]*(1-Table_3[[#This Row],[Discount]])</f>
        <v>472.86190729275933</v>
      </c>
      <c r="O158">
        <v>472.86190729275933</v>
      </c>
      <c r="P158">
        <v>4.5012478047171678E-3</v>
      </c>
    </row>
    <row r="159" spans="1:16" ht="14.25" customHeight="1">
      <c r="A159" s="1" t="s">
        <v>244</v>
      </c>
      <c r="B159" s="1" t="s">
        <v>883</v>
      </c>
      <c r="C159" s="3">
        <v>44753</v>
      </c>
      <c r="D159" s="1" t="s">
        <v>895</v>
      </c>
      <c r="E159" s="1" t="s">
        <v>898</v>
      </c>
      <c r="F159" s="1">
        <v>72</v>
      </c>
      <c r="G159" s="1" t="s">
        <v>1</v>
      </c>
      <c r="H159" s="4">
        <v>9</v>
      </c>
      <c r="I159" s="5">
        <v>0.22169192366246837</v>
      </c>
      <c r="J159">
        <f>Table_3[[#This Row],[Price of One Product]]*Table_3[[#This Row],[No of Products in one Sale]]*(1-Table_3[[#This Row],[Discount]])</f>
        <v>504.34363346672052</v>
      </c>
      <c r="O159">
        <v>504.34363346672052</v>
      </c>
      <c r="P159">
        <v>0.22169192366246837</v>
      </c>
    </row>
    <row r="160" spans="1:16" ht="14.25" customHeight="1">
      <c r="A160" s="1" t="s">
        <v>245</v>
      </c>
      <c r="B160" s="1" t="s">
        <v>884</v>
      </c>
      <c r="C160" s="3">
        <v>44732</v>
      </c>
      <c r="D160" s="1" t="s">
        <v>897</v>
      </c>
      <c r="E160" s="1" t="s">
        <v>898</v>
      </c>
      <c r="F160" s="1">
        <v>65</v>
      </c>
      <c r="G160" s="1" t="s">
        <v>2</v>
      </c>
      <c r="H160" s="4">
        <v>6</v>
      </c>
      <c r="I160" s="5">
        <v>0.91624709117858605</v>
      </c>
      <c r="J160">
        <f>Table_3[[#This Row],[Price of One Product]]*Table_3[[#This Row],[No of Products in one Sale]]*(1-Table_3[[#This Row],[Discount]])</f>
        <v>32.663634440351444</v>
      </c>
      <c r="O160">
        <v>32.663634440351444</v>
      </c>
      <c r="P160">
        <v>0.91624709117858605</v>
      </c>
    </row>
    <row r="161" spans="1:16" ht="14.25" customHeight="1">
      <c r="A161" s="1" t="s">
        <v>246</v>
      </c>
      <c r="B161" s="1" t="s">
        <v>885</v>
      </c>
      <c r="C161" s="3">
        <v>44748</v>
      </c>
      <c r="D161" s="1" t="s">
        <v>899</v>
      </c>
      <c r="E161" s="1" t="s">
        <v>896</v>
      </c>
      <c r="F161" s="1">
        <v>250</v>
      </c>
      <c r="G161" s="1" t="s">
        <v>3</v>
      </c>
      <c r="H161" s="4">
        <v>3</v>
      </c>
      <c r="I161" s="5">
        <v>0.61362516317019966</v>
      </c>
      <c r="J161">
        <f>Table_3[[#This Row],[Price of One Product]]*Table_3[[#This Row],[No of Products in one Sale]]*(1-Table_3[[#This Row],[Discount]])</f>
        <v>289.78112762235025</v>
      </c>
      <c r="O161">
        <v>289.78112762235025</v>
      </c>
      <c r="P161">
        <v>0.61362516317019966</v>
      </c>
    </row>
    <row r="162" spans="1:16" ht="14.25" customHeight="1">
      <c r="A162" s="1" t="s">
        <v>247</v>
      </c>
      <c r="B162" s="1" t="s">
        <v>886</v>
      </c>
      <c r="C162" s="3">
        <v>44731</v>
      </c>
      <c r="D162" s="1" t="s">
        <v>900</v>
      </c>
      <c r="E162" s="1" t="s">
        <v>896</v>
      </c>
      <c r="F162" s="1">
        <v>130</v>
      </c>
      <c r="G162" s="1" t="s">
        <v>1</v>
      </c>
      <c r="H162" s="4">
        <v>4</v>
      </c>
      <c r="I162" s="5">
        <v>0.81572623665656485</v>
      </c>
      <c r="J162">
        <f>Table_3[[#This Row],[Price of One Product]]*Table_3[[#This Row],[No of Products in one Sale]]*(1-Table_3[[#This Row],[Discount]])</f>
        <v>95.822356938586282</v>
      </c>
      <c r="O162">
        <v>95.822356938586282</v>
      </c>
      <c r="P162">
        <v>0.81572623665656485</v>
      </c>
    </row>
    <row r="163" spans="1:16" ht="14.25" customHeight="1">
      <c r="A163" s="1" t="s">
        <v>248</v>
      </c>
      <c r="B163" s="1" t="s">
        <v>883</v>
      </c>
      <c r="C163" s="3">
        <v>44725</v>
      </c>
      <c r="D163" s="1" t="s">
        <v>895</v>
      </c>
      <c r="E163" s="1" t="s">
        <v>896</v>
      </c>
      <c r="F163" s="1">
        <v>72</v>
      </c>
      <c r="G163" s="1" t="s">
        <v>2</v>
      </c>
      <c r="H163" s="4">
        <v>11</v>
      </c>
      <c r="I163" s="5">
        <v>0.60394772308749511</v>
      </c>
      <c r="J163">
        <f>Table_3[[#This Row],[Price of One Product]]*Table_3[[#This Row],[No of Products in one Sale]]*(1-Table_3[[#This Row],[Discount]])</f>
        <v>313.67340331470388</v>
      </c>
      <c r="O163">
        <v>313.67340331470388</v>
      </c>
      <c r="P163">
        <v>0.60394772308749511</v>
      </c>
    </row>
    <row r="164" spans="1:16" ht="14.25" customHeight="1">
      <c r="A164" s="1" t="s">
        <v>249</v>
      </c>
      <c r="B164" s="1" t="s">
        <v>884</v>
      </c>
      <c r="C164" s="3">
        <v>44753</v>
      </c>
      <c r="D164" s="1" t="s">
        <v>897</v>
      </c>
      <c r="E164" s="1" t="s">
        <v>896</v>
      </c>
      <c r="F164" s="1">
        <v>65</v>
      </c>
      <c r="G164" s="1" t="s">
        <v>3</v>
      </c>
      <c r="H164" s="4">
        <v>7</v>
      </c>
      <c r="I164" s="5">
        <v>0.2716676542664398</v>
      </c>
      <c r="J164">
        <f>Table_3[[#This Row],[Price of One Product]]*Table_3[[#This Row],[No of Products in one Sale]]*(1-Table_3[[#This Row],[Discount]])</f>
        <v>331.39121730876991</v>
      </c>
      <c r="O164">
        <v>331.39121730876991</v>
      </c>
      <c r="P164">
        <v>0.2716676542664398</v>
      </c>
    </row>
    <row r="165" spans="1:16" ht="14.25" customHeight="1">
      <c r="A165" s="1" t="s">
        <v>250</v>
      </c>
      <c r="B165" s="1" t="s">
        <v>885</v>
      </c>
      <c r="C165" s="3">
        <v>44738</v>
      </c>
      <c r="D165" s="1" t="s">
        <v>899</v>
      </c>
      <c r="E165" s="1" t="s">
        <v>896</v>
      </c>
      <c r="F165" s="1">
        <v>250</v>
      </c>
      <c r="G165" s="1" t="s">
        <v>1</v>
      </c>
      <c r="H165" s="4">
        <v>2</v>
      </c>
      <c r="I165" s="5">
        <v>0.56293228162406539</v>
      </c>
      <c r="J165">
        <f>Table_3[[#This Row],[Price of One Product]]*Table_3[[#This Row],[No of Products in one Sale]]*(1-Table_3[[#This Row],[Discount]])</f>
        <v>218.53385918796729</v>
      </c>
      <c r="O165">
        <v>218.53385918796729</v>
      </c>
      <c r="P165">
        <v>0.56293228162406539</v>
      </c>
    </row>
    <row r="166" spans="1:16" ht="14.25" customHeight="1">
      <c r="A166" s="1" t="s">
        <v>251</v>
      </c>
      <c r="B166" s="1" t="s">
        <v>886</v>
      </c>
      <c r="C166" s="3">
        <v>44762</v>
      </c>
      <c r="D166" s="1" t="s">
        <v>900</v>
      </c>
      <c r="E166" s="1" t="s">
        <v>896</v>
      </c>
      <c r="F166" s="1">
        <v>130</v>
      </c>
      <c r="G166" s="1" t="s">
        <v>2</v>
      </c>
      <c r="H166" s="4">
        <v>4</v>
      </c>
      <c r="I166" s="5">
        <v>0.73579140219525918</v>
      </c>
      <c r="J166">
        <f>Table_3[[#This Row],[Price of One Product]]*Table_3[[#This Row],[No of Products in one Sale]]*(1-Table_3[[#This Row],[Discount]])</f>
        <v>137.38847085846521</v>
      </c>
      <c r="O166">
        <v>137.38847085846521</v>
      </c>
      <c r="P166">
        <v>0.73579140219525918</v>
      </c>
    </row>
    <row r="167" spans="1:16" ht="14.25" customHeight="1">
      <c r="A167" s="1" t="s">
        <v>252</v>
      </c>
      <c r="B167" s="1" t="s">
        <v>887</v>
      </c>
      <c r="C167" s="3">
        <v>44756</v>
      </c>
      <c r="D167" s="1" t="s">
        <v>901</v>
      </c>
      <c r="E167" s="1" t="s">
        <v>896</v>
      </c>
      <c r="F167" s="1">
        <v>60</v>
      </c>
      <c r="G167" s="1" t="s">
        <v>3</v>
      </c>
      <c r="H167" s="4">
        <v>12</v>
      </c>
      <c r="I167" s="5">
        <v>0.44112931781121201</v>
      </c>
      <c r="J167">
        <f>Table_3[[#This Row],[Price of One Product]]*Table_3[[#This Row],[No of Products in one Sale]]*(1-Table_3[[#This Row],[Discount]])</f>
        <v>402.38689117592736</v>
      </c>
      <c r="O167">
        <v>402.38689117592736</v>
      </c>
      <c r="P167">
        <v>0.44112931781121201</v>
      </c>
    </row>
    <row r="168" spans="1:16" ht="14.25" customHeight="1">
      <c r="A168" s="1" t="s">
        <v>253</v>
      </c>
      <c r="B168" s="1" t="s">
        <v>883</v>
      </c>
      <c r="C168" s="3">
        <v>44744</v>
      </c>
      <c r="D168" s="1" t="s">
        <v>895</v>
      </c>
      <c r="E168" s="1" t="s">
        <v>896</v>
      </c>
      <c r="F168" s="1">
        <v>72</v>
      </c>
      <c r="G168" s="1" t="s">
        <v>1</v>
      </c>
      <c r="H168" s="4">
        <v>11</v>
      </c>
      <c r="I168" s="5">
        <v>0.67026763876764872</v>
      </c>
      <c r="J168">
        <f>Table_3[[#This Row],[Price of One Product]]*Table_3[[#This Row],[No of Products in one Sale]]*(1-Table_3[[#This Row],[Discount]])</f>
        <v>261.14803009602224</v>
      </c>
      <c r="O168">
        <v>261.14803009602224</v>
      </c>
      <c r="P168">
        <v>0.67026763876764872</v>
      </c>
    </row>
    <row r="169" spans="1:16" ht="14.25" customHeight="1">
      <c r="A169" s="1" t="s">
        <v>254</v>
      </c>
      <c r="B169" s="1" t="s">
        <v>884</v>
      </c>
      <c r="C169" s="3">
        <v>44753</v>
      </c>
      <c r="D169" s="1" t="s">
        <v>897</v>
      </c>
      <c r="E169" s="1" t="s">
        <v>896</v>
      </c>
      <c r="F169" s="1">
        <v>65</v>
      </c>
      <c r="G169" s="1" t="s">
        <v>2</v>
      </c>
      <c r="H169" s="4">
        <v>9</v>
      </c>
      <c r="I169" s="5">
        <v>0.21501842814819261</v>
      </c>
      <c r="J169">
        <f>Table_3[[#This Row],[Price of One Product]]*Table_3[[#This Row],[No of Products in one Sale]]*(1-Table_3[[#This Row],[Discount]])</f>
        <v>459.2142195333073</v>
      </c>
      <c r="O169">
        <v>459.2142195333073</v>
      </c>
      <c r="P169">
        <v>0.21501842814819261</v>
      </c>
    </row>
    <row r="170" spans="1:16" ht="14.25" customHeight="1">
      <c r="A170" s="1" t="s">
        <v>255</v>
      </c>
      <c r="B170" s="1" t="s">
        <v>885</v>
      </c>
      <c r="C170" s="3">
        <v>44762</v>
      </c>
      <c r="D170" s="1" t="s">
        <v>899</v>
      </c>
      <c r="E170" s="1" t="s">
        <v>898</v>
      </c>
      <c r="F170" s="1">
        <v>250</v>
      </c>
      <c r="G170" s="1" t="s">
        <v>3</v>
      </c>
      <c r="H170" s="4">
        <v>3</v>
      </c>
      <c r="I170" s="5">
        <v>0.77528388030776896</v>
      </c>
      <c r="J170">
        <f>Table_3[[#This Row],[Price of One Product]]*Table_3[[#This Row],[No of Products in one Sale]]*(1-Table_3[[#This Row],[Discount]])</f>
        <v>168.53708976917329</v>
      </c>
      <c r="O170">
        <v>168.53708976917329</v>
      </c>
      <c r="P170">
        <v>0.77528388030776896</v>
      </c>
    </row>
    <row r="171" spans="1:16" ht="14.25" customHeight="1">
      <c r="A171" s="1" t="s">
        <v>256</v>
      </c>
      <c r="B171" s="1" t="s">
        <v>886</v>
      </c>
      <c r="C171" s="3">
        <v>44740</v>
      </c>
      <c r="D171" s="1" t="s">
        <v>900</v>
      </c>
      <c r="E171" s="1" t="s">
        <v>896</v>
      </c>
      <c r="F171" s="1">
        <v>130</v>
      </c>
      <c r="G171" s="1" t="s">
        <v>1</v>
      </c>
      <c r="H171" s="4">
        <v>3</v>
      </c>
      <c r="I171" s="5">
        <v>0.32334348690445713</v>
      </c>
      <c r="J171">
        <f>Table_3[[#This Row],[Price of One Product]]*Table_3[[#This Row],[No of Products in one Sale]]*(1-Table_3[[#This Row],[Discount]])</f>
        <v>263.89604010726174</v>
      </c>
      <c r="O171">
        <v>263.89604010726174</v>
      </c>
      <c r="P171">
        <v>0.32334348690445713</v>
      </c>
    </row>
    <row r="172" spans="1:16" ht="14.25" customHeight="1">
      <c r="A172" s="1" t="s">
        <v>257</v>
      </c>
      <c r="B172" s="1" t="s">
        <v>883</v>
      </c>
      <c r="C172" s="3">
        <v>44729</v>
      </c>
      <c r="D172" s="1" t="s">
        <v>895</v>
      </c>
      <c r="E172" s="1" t="s">
        <v>896</v>
      </c>
      <c r="F172" s="1">
        <v>72</v>
      </c>
      <c r="G172" s="1" t="s">
        <v>2</v>
      </c>
      <c r="H172" s="4">
        <v>5</v>
      </c>
      <c r="I172" s="5">
        <v>0.2117276391971491</v>
      </c>
      <c r="J172">
        <f>Table_3[[#This Row],[Price of One Product]]*Table_3[[#This Row],[No of Products in one Sale]]*(1-Table_3[[#This Row],[Discount]])</f>
        <v>283.77804988902631</v>
      </c>
      <c r="O172">
        <v>283.77804988902631</v>
      </c>
      <c r="P172">
        <v>0.2117276391971491</v>
      </c>
    </row>
    <row r="173" spans="1:16" ht="14.25" customHeight="1">
      <c r="A173" s="1" t="s">
        <v>258</v>
      </c>
      <c r="B173" s="1" t="s">
        <v>884</v>
      </c>
      <c r="C173" s="3">
        <v>44727</v>
      </c>
      <c r="D173" s="1" t="s">
        <v>897</v>
      </c>
      <c r="E173" s="1" t="s">
        <v>896</v>
      </c>
      <c r="F173" s="1">
        <v>65</v>
      </c>
      <c r="G173" s="1" t="s">
        <v>3</v>
      </c>
      <c r="H173" s="4">
        <v>10</v>
      </c>
      <c r="I173" s="5">
        <v>0.99817658128489728</v>
      </c>
      <c r="J173">
        <f>Table_3[[#This Row],[Price of One Product]]*Table_3[[#This Row],[No of Products in one Sale]]*(1-Table_3[[#This Row],[Discount]])</f>
        <v>1.1852221648167682</v>
      </c>
      <c r="O173">
        <v>1.1852221648167682</v>
      </c>
      <c r="P173">
        <v>0.99817658128489728</v>
      </c>
    </row>
    <row r="174" spans="1:16" ht="14.25" customHeight="1">
      <c r="A174" s="1" t="s">
        <v>259</v>
      </c>
      <c r="B174" s="1" t="s">
        <v>885</v>
      </c>
      <c r="C174" s="3">
        <v>44734</v>
      </c>
      <c r="D174" s="1" t="s">
        <v>899</v>
      </c>
      <c r="E174" s="1" t="s">
        <v>896</v>
      </c>
      <c r="F174" s="1">
        <v>250</v>
      </c>
      <c r="G174" s="1" t="s">
        <v>1</v>
      </c>
      <c r="H174" s="4">
        <v>3</v>
      </c>
      <c r="I174" s="5">
        <v>0.34321661485625221</v>
      </c>
      <c r="J174">
        <f>Table_3[[#This Row],[Price of One Product]]*Table_3[[#This Row],[No of Products in one Sale]]*(1-Table_3[[#This Row],[Discount]])</f>
        <v>492.58753885781084</v>
      </c>
      <c r="O174">
        <v>492.58753885781084</v>
      </c>
      <c r="P174">
        <v>0.34321661485625221</v>
      </c>
    </row>
    <row r="175" spans="1:16" ht="14.25" customHeight="1">
      <c r="A175" s="1" t="s">
        <v>260</v>
      </c>
      <c r="B175" s="1" t="s">
        <v>886</v>
      </c>
      <c r="C175" s="3">
        <v>44744</v>
      </c>
      <c r="D175" s="1" t="s">
        <v>900</v>
      </c>
      <c r="E175" s="1" t="s">
        <v>896</v>
      </c>
      <c r="F175" s="1">
        <v>130</v>
      </c>
      <c r="G175" s="1" t="s">
        <v>2</v>
      </c>
      <c r="H175" s="4">
        <v>6</v>
      </c>
      <c r="I175" s="5">
        <v>0.17688363553653064</v>
      </c>
      <c r="J175">
        <f>Table_3[[#This Row],[Price of One Product]]*Table_3[[#This Row],[No of Products in one Sale]]*(1-Table_3[[#This Row],[Discount]])</f>
        <v>642.03076428150609</v>
      </c>
      <c r="O175">
        <v>642.03076428150609</v>
      </c>
      <c r="P175">
        <v>0.17688363553653064</v>
      </c>
    </row>
    <row r="176" spans="1:16" ht="14.25" customHeight="1">
      <c r="A176" s="1" t="s">
        <v>261</v>
      </c>
      <c r="B176" s="1" t="s">
        <v>887</v>
      </c>
      <c r="C176" s="3">
        <v>44737</v>
      </c>
      <c r="D176" s="1" t="s">
        <v>901</v>
      </c>
      <c r="E176" s="1" t="s">
        <v>898</v>
      </c>
      <c r="F176" s="1">
        <v>60</v>
      </c>
      <c r="G176" s="1" t="s">
        <v>3</v>
      </c>
      <c r="H176" s="4">
        <v>12</v>
      </c>
      <c r="I176" s="5">
        <v>0.54853763527560739</v>
      </c>
      <c r="J176">
        <f>Table_3[[#This Row],[Price of One Product]]*Table_3[[#This Row],[No of Products in one Sale]]*(1-Table_3[[#This Row],[Discount]])</f>
        <v>325.05290260156266</v>
      </c>
      <c r="O176">
        <v>325.05290260156266</v>
      </c>
      <c r="P176">
        <v>0.54853763527560739</v>
      </c>
    </row>
    <row r="177" spans="1:16" ht="14.25" customHeight="1">
      <c r="A177" s="1" t="s">
        <v>262</v>
      </c>
      <c r="B177" s="1" t="s">
        <v>888</v>
      </c>
      <c r="C177" s="3">
        <v>44752</v>
      </c>
      <c r="D177" s="1" t="s">
        <v>902</v>
      </c>
      <c r="E177" s="1" t="s">
        <v>896</v>
      </c>
      <c r="F177" s="1">
        <v>95</v>
      </c>
      <c r="G177" s="1" t="s">
        <v>1</v>
      </c>
      <c r="H177" s="4">
        <v>7</v>
      </c>
      <c r="I177" s="5">
        <v>0.40612729229894939</v>
      </c>
      <c r="J177">
        <f>Table_3[[#This Row],[Price of One Product]]*Table_3[[#This Row],[No of Products in one Sale]]*(1-Table_3[[#This Row],[Discount]])</f>
        <v>394.92535062119867</v>
      </c>
      <c r="O177">
        <v>394.92535062119867</v>
      </c>
      <c r="P177">
        <v>0.40612729229894939</v>
      </c>
    </row>
    <row r="178" spans="1:16" ht="14.25" customHeight="1">
      <c r="A178" s="1" t="s">
        <v>263</v>
      </c>
      <c r="B178" s="1" t="s">
        <v>883</v>
      </c>
      <c r="C178" s="3">
        <v>44736</v>
      </c>
      <c r="D178" s="1" t="s">
        <v>895</v>
      </c>
      <c r="E178" s="1" t="s">
        <v>896</v>
      </c>
      <c r="F178" s="1">
        <v>72</v>
      </c>
      <c r="G178" s="1" t="s">
        <v>2</v>
      </c>
      <c r="H178" s="4">
        <v>6</v>
      </c>
      <c r="I178" s="5">
        <v>0.16780300089638589</v>
      </c>
      <c r="J178">
        <f>Table_3[[#This Row],[Price of One Product]]*Table_3[[#This Row],[No of Products in one Sale]]*(1-Table_3[[#This Row],[Discount]])</f>
        <v>359.50910361276129</v>
      </c>
      <c r="O178">
        <v>359.50910361276129</v>
      </c>
      <c r="P178">
        <v>0.16780300089638589</v>
      </c>
    </row>
    <row r="179" spans="1:16" ht="14.25" customHeight="1">
      <c r="A179" s="1" t="s">
        <v>264</v>
      </c>
      <c r="B179" s="1" t="s">
        <v>884</v>
      </c>
      <c r="C179" s="3">
        <v>44752</v>
      </c>
      <c r="D179" s="1" t="s">
        <v>897</v>
      </c>
      <c r="E179" s="1" t="s">
        <v>896</v>
      </c>
      <c r="F179" s="1">
        <v>65</v>
      </c>
      <c r="G179" s="1" t="s">
        <v>3</v>
      </c>
      <c r="H179" s="4">
        <v>10</v>
      </c>
      <c r="I179" s="5">
        <v>0.91086777790941564</v>
      </c>
      <c r="J179">
        <f>Table_3[[#This Row],[Price of One Product]]*Table_3[[#This Row],[No of Products in one Sale]]*(1-Table_3[[#This Row],[Discount]])</f>
        <v>57.93594435887983</v>
      </c>
      <c r="O179">
        <v>57.93594435887983</v>
      </c>
      <c r="P179">
        <v>0.91086777790941564</v>
      </c>
    </row>
    <row r="180" spans="1:16" ht="14.25" customHeight="1">
      <c r="A180" s="1" t="s">
        <v>265</v>
      </c>
      <c r="B180" s="1" t="s">
        <v>885</v>
      </c>
      <c r="C180" s="3">
        <v>44759</v>
      </c>
      <c r="D180" s="1" t="s">
        <v>899</v>
      </c>
      <c r="E180" s="1" t="s">
        <v>898</v>
      </c>
      <c r="F180" s="1">
        <v>250</v>
      </c>
      <c r="G180" s="1" t="s">
        <v>1</v>
      </c>
      <c r="H180" s="4">
        <v>3</v>
      </c>
      <c r="I180" s="5">
        <v>0.2731985494536886</v>
      </c>
      <c r="J180">
        <f>Table_3[[#This Row],[Price of One Product]]*Table_3[[#This Row],[No of Products in one Sale]]*(1-Table_3[[#This Row],[Discount]])</f>
        <v>545.10108790973356</v>
      </c>
      <c r="O180">
        <v>545.10108790973356</v>
      </c>
      <c r="P180">
        <v>0.2731985494536886</v>
      </c>
    </row>
    <row r="181" spans="1:16" ht="14.25" customHeight="1">
      <c r="A181" s="1" t="s">
        <v>266</v>
      </c>
      <c r="B181" s="1" t="s">
        <v>886</v>
      </c>
      <c r="C181" s="3">
        <v>44763</v>
      </c>
      <c r="D181" s="1" t="s">
        <v>900</v>
      </c>
      <c r="E181" s="1" t="s">
        <v>898</v>
      </c>
      <c r="F181" s="1">
        <v>130</v>
      </c>
      <c r="G181" s="1" t="s">
        <v>2</v>
      </c>
      <c r="H181" s="4">
        <v>4</v>
      </c>
      <c r="I181" s="5">
        <v>0.81984662786178419</v>
      </c>
      <c r="J181">
        <f>Table_3[[#This Row],[Price of One Product]]*Table_3[[#This Row],[No of Products in one Sale]]*(1-Table_3[[#This Row],[Discount]])</f>
        <v>93.679753511872221</v>
      </c>
      <c r="O181">
        <v>93.679753511872221</v>
      </c>
      <c r="P181">
        <v>0.81984662786178419</v>
      </c>
    </row>
    <row r="182" spans="1:16" ht="14.25" customHeight="1">
      <c r="A182" s="1" t="s">
        <v>267</v>
      </c>
      <c r="B182" s="1" t="s">
        <v>883</v>
      </c>
      <c r="C182" s="3">
        <v>44763</v>
      </c>
      <c r="D182" s="1" t="s">
        <v>895</v>
      </c>
      <c r="E182" s="1" t="s">
        <v>898</v>
      </c>
      <c r="F182" s="1">
        <v>72</v>
      </c>
      <c r="G182" s="1" t="s">
        <v>3</v>
      </c>
      <c r="H182" s="4">
        <v>7</v>
      </c>
      <c r="I182" s="5">
        <v>0.89980934003543744</v>
      </c>
      <c r="J182">
        <f>Table_3[[#This Row],[Price of One Product]]*Table_3[[#This Row],[No of Products in one Sale]]*(1-Table_3[[#This Row],[Discount]])</f>
        <v>50.496092622139528</v>
      </c>
      <c r="O182">
        <v>50.496092622139528</v>
      </c>
      <c r="P182">
        <v>0.89980934003543744</v>
      </c>
    </row>
    <row r="183" spans="1:16" ht="14.25" customHeight="1">
      <c r="A183" s="1" t="s">
        <v>268</v>
      </c>
      <c r="B183" s="1" t="s">
        <v>884</v>
      </c>
      <c r="C183" s="3">
        <v>44750</v>
      </c>
      <c r="D183" s="1" t="s">
        <v>897</v>
      </c>
      <c r="E183" s="1" t="s">
        <v>898</v>
      </c>
      <c r="F183" s="1">
        <v>65</v>
      </c>
      <c r="G183" s="1" t="s">
        <v>1</v>
      </c>
      <c r="H183" s="4">
        <v>5</v>
      </c>
      <c r="I183" s="5">
        <v>0.73522347452625669</v>
      </c>
      <c r="J183">
        <f>Table_3[[#This Row],[Price of One Product]]*Table_3[[#This Row],[No of Products in one Sale]]*(1-Table_3[[#This Row],[Discount]])</f>
        <v>86.052370778966576</v>
      </c>
      <c r="O183">
        <v>86.052370778966576</v>
      </c>
      <c r="P183">
        <v>0.73522347452625669</v>
      </c>
    </row>
    <row r="184" spans="1:16" ht="14.25" customHeight="1">
      <c r="A184" s="1" t="s">
        <v>269</v>
      </c>
      <c r="B184" s="1" t="s">
        <v>885</v>
      </c>
      <c r="C184" s="3">
        <v>44751</v>
      </c>
      <c r="D184" s="1" t="s">
        <v>899</v>
      </c>
      <c r="E184" s="1" t="s">
        <v>898</v>
      </c>
      <c r="F184" s="1">
        <v>250</v>
      </c>
      <c r="G184" s="1" t="s">
        <v>2</v>
      </c>
      <c r="H184" s="4">
        <v>3</v>
      </c>
      <c r="I184" s="5">
        <v>0.36579213338930128</v>
      </c>
      <c r="J184">
        <f>Table_3[[#This Row],[Price of One Product]]*Table_3[[#This Row],[No of Products in one Sale]]*(1-Table_3[[#This Row],[Discount]])</f>
        <v>475.65589995802407</v>
      </c>
      <c r="O184">
        <v>475.65589995802407</v>
      </c>
      <c r="P184">
        <v>0.36579213338930128</v>
      </c>
    </row>
    <row r="185" spans="1:16" ht="14.25" customHeight="1">
      <c r="A185" s="1" t="s">
        <v>270</v>
      </c>
      <c r="B185" s="1" t="s">
        <v>886</v>
      </c>
      <c r="C185" s="3">
        <v>44736</v>
      </c>
      <c r="D185" s="1" t="s">
        <v>900</v>
      </c>
      <c r="E185" s="1" t="s">
        <v>898</v>
      </c>
      <c r="F185" s="1">
        <v>130</v>
      </c>
      <c r="G185" s="1" t="s">
        <v>3</v>
      </c>
      <c r="H185" s="4">
        <v>2</v>
      </c>
      <c r="I185" s="5">
        <v>0.79313642440033238</v>
      </c>
      <c r="J185">
        <f>Table_3[[#This Row],[Price of One Product]]*Table_3[[#This Row],[No of Products in one Sale]]*(1-Table_3[[#This Row],[Discount]])</f>
        <v>53.78452965591358</v>
      </c>
      <c r="O185">
        <v>53.78452965591358</v>
      </c>
      <c r="P185">
        <v>0.79313642440033238</v>
      </c>
    </row>
    <row r="186" spans="1:16" ht="14.25" customHeight="1">
      <c r="A186" s="1" t="s">
        <v>271</v>
      </c>
      <c r="B186" s="1" t="s">
        <v>883</v>
      </c>
      <c r="C186" s="3">
        <v>44737</v>
      </c>
      <c r="D186" s="1" t="s">
        <v>895</v>
      </c>
      <c r="E186" s="1" t="s">
        <v>896</v>
      </c>
      <c r="F186" s="1">
        <v>72</v>
      </c>
      <c r="G186" s="1" t="s">
        <v>3</v>
      </c>
      <c r="H186" s="4">
        <v>4</v>
      </c>
      <c r="I186" s="5">
        <v>8.0407664979564641E-2</v>
      </c>
      <c r="J186">
        <f>Table_3[[#This Row],[Price of One Product]]*Table_3[[#This Row],[No of Products in one Sale]]*(1-Table_3[[#This Row],[Discount]])</f>
        <v>264.8425924858854</v>
      </c>
      <c r="O186">
        <v>264.8425924858854</v>
      </c>
      <c r="P186">
        <v>8.0407664979564641E-2</v>
      </c>
    </row>
    <row r="187" spans="1:16" ht="14.25" customHeight="1">
      <c r="A187" s="1" t="s">
        <v>272</v>
      </c>
      <c r="B187" s="1" t="s">
        <v>884</v>
      </c>
      <c r="C187" s="3">
        <v>44744</v>
      </c>
      <c r="D187" s="1" t="s">
        <v>897</v>
      </c>
      <c r="E187" s="1" t="s">
        <v>898</v>
      </c>
      <c r="F187" s="1">
        <v>65</v>
      </c>
      <c r="G187" s="1" t="s">
        <v>1</v>
      </c>
      <c r="H187" s="4">
        <v>12</v>
      </c>
      <c r="I187" s="5">
        <v>0.38525936096781821</v>
      </c>
      <c r="J187">
        <f>Table_3[[#This Row],[Price of One Product]]*Table_3[[#This Row],[No of Products in one Sale]]*(1-Table_3[[#This Row],[Discount]])</f>
        <v>479.49769844510178</v>
      </c>
      <c r="O187">
        <v>479.49769844510178</v>
      </c>
      <c r="P187">
        <v>0.38525936096781821</v>
      </c>
    </row>
    <row r="188" spans="1:16" ht="14.25" customHeight="1">
      <c r="A188" s="1" t="s">
        <v>273</v>
      </c>
      <c r="B188" s="1" t="s">
        <v>885</v>
      </c>
      <c r="C188" s="3">
        <v>44735</v>
      </c>
      <c r="D188" s="1" t="s">
        <v>899</v>
      </c>
      <c r="E188" s="1" t="s">
        <v>896</v>
      </c>
      <c r="F188" s="1">
        <v>250</v>
      </c>
      <c r="G188" s="1" t="s">
        <v>2</v>
      </c>
      <c r="H188" s="4">
        <v>1</v>
      </c>
      <c r="I188" s="5">
        <v>0.45507177071325888</v>
      </c>
      <c r="J188">
        <f>Table_3[[#This Row],[Price of One Product]]*Table_3[[#This Row],[No of Products in one Sale]]*(1-Table_3[[#This Row],[Discount]])</f>
        <v>136.23205732168529</v>
      </c>
      <c r="O188">
        <v>136.23205732168529</v>
      </c>
      <c r="P188">
        <v>0.45507177071325888</v>
      </c>
    </row>
    <row r="189" spans="1:16" ht="14.25" customHeight="1">
      <c r="A189" s="1" t="s">
        <v>274</v>
      </c>
      <c r="B189" s="1" t="s">
        <v>886</v>
      </c>
      <c r="C189" s="3">
        <v>44751</v>
      </c>
      <c r="D189" s="1" t="s">
        <v>900</v>
      </c>
      <c r="E189" s="1" t="s">
        <v>898</v>
      </c>
      <c r="F189" s="1">
        <v>130</v>
      </c>
      <c r="G189" s="1" t="s">
        <v>3</v>
      </c>
      <c r="H189" s="4">
        <v>4</v>
      </c>
      <c r="I189" s="5">
        <v>0.93827031337312128</v>
      </c>
      <c r="J189">
        <f>Table_3[[#This Row],[Price of One Product]]*Table_3[[#This Row],[No of Products in one Sale]]*(1-Table_3[[#This Row],[Discount]])</f>
        <v>32.099437045976934</v>
      </c>
      <c r="O189">
        <v>32.099437045976934</v>
      </c>
      <c r="P189">
        <v>0.93827031337312128</v>
      </c>
    </row>
    <row r="190" spans="1:16" ht="14.25" customHeight="1">
      <c r="A190" s="1" t="s">
        <v>275</v>
      </c>
      <c r="B190" s="1" t="s">
        <v>883</v>
      </c>
      <c r="C190" s="3">
        <v>44726</v>
      </c>
      <c r="D190" s="1" t="s">
        <v>895</v>
      </c>
      <c r="E190" s="1" t="s">
        <v>896</v>
      </c>
      <c r="F190" s="1">
        <v>72</v>
      </c>
      <c r="G190" s="1" t="s">
        <v>1</v>
      </c>
      <c r="H190" s="4">
        <v>7</v>
      </c>
      <c r="I190" s="5">
        <v>0.14716035331195043</v>
      </c>
      <c r="J190">
        <f>Table_3[[#This Row],[Price of One Product]]*Table_3[[#This Row],[No of Products in one Sale]]*(1-Table_3[[#This Row],[Discount]])</f>
        <v>429.83118193077701</v>
      </c>
      <c r="O190">
        <v>429.83118193077701</v>
      </c>
      <c r="P190">
        <v>0.14716035331195043</v>
      </c>
    </row>
    <row r="191" spans="1:16" ht="14.25" customHeight="1">
      <c r="A191" s="1" t="s">
        <v>276</v>
      </c>
      <c r="B191" s="1" t="s">
        <v>884</v>
      </c>
      <c r="C191" s="3">
        <v>44749</v>
      </c>
      <c r="D191" s="1" t="s">
        <v>897</v>
      </c>
      <c r="E191" s="1" t="s">
        <v>898</v>
      </c>
      <c r="F191" s="1">
        <v>65</v>
      </c>
      <c r="G191" s="1" t="s">
        <v>2</v>
      </c>
      <c r="H191" s="4">
        <v>12</v>
      </c>
      <c r="I191" s="5">
        <v>0.10159867043013626</v>
      </c>
      <c r="J191">
        <f>Table_3[[#This Row],[Price of One Product]]*Table_3[[#This Row],[No of Products in one Sale]]*(1-Table_3[[#This Row],[Discount]])</f>
        <v>700.7530370644937</v>
      </c>
      <c r="O191">
        <v>700.7530370644937</v>
      </c>
      <c r="P191">
        <v>0.10159867043013626</v>
      </c>
    </row>
    <row r="192" spans="1:16" ht="14.25" customHeight="1">
      <c r="A192" s="1" t="s">
        <v>277</v>
      </c>
      <c r="B192" s="1" t="s">
        <v>885</v>
      </c>
      <c r="C192" s="3">
        <v>44734</v>
      </c>
      <c r="D192" s="1" t="s">
        <v>899</v>
      </c>
      <c r="E192" s="1" t="s">
        <v>896</v>
      </c>
      <c r="F192" s="1">
        <v>250</v>
      </c>
      <c r="G192" s="1" t="s">
        <v>3</v>
      </c>
      <c r="H192" s="4">
        <v>2</v>
      </c>
      <c r="I192" s="5">
        <v>0.50060788399709522</v>
      </c>
      <c r="J192">
        <f>Table_3[[#This Row],[Price of One Product]]*Table_3[[#This Row],[No of Products in one Sale]]*(1-Table_3[[#This Row],[Discount]])</f>
        <v>249.6960580014524</v>
      </c>
      <c r="O192">
        <v>249.6960580014524</v>
      </c>
      <c r="P192">
        <v>0.50060788399709522</v>
      </c>
    </row>
    <row r="193" spans="1:16" ht="14.25" customHeight="1">
      <c r="A193" s="1" t="s">
        <v>278</v>
      </c>
      <c r="B193" s="1" t="s">
        <v>886</v>
      </c>
      <c r="C193" s="3">
        <v>44726</v>
      </c>
      <c r="D193" s="1" t="s">
        <v>900</v>
      </c>
      <c r="E193" s="1" t="s">
        <v>898</v>
      </c>
      <c r="F193" s="1">
        <v>130</v>
      </c>
      <c r="G193" s="1" t="s">
        <v>1</v>
      </c>
      <c r="H193" s="4">
        <v>6</v>
      </c>
      <c r="I193" s="5">
        <v>0.70539643021834586</v>
      </c>
      <c r="J193">
        <f>Table_3[[#This Row],[Price of One Product]]*Table_3[[#This Row],[No of Products in one Sale]]*(1-Table_3[[#This Row],[Discount]])</f>
        <v>229.79078442969023</v>
      </c>
      <c r="O193">
        <v>229.79078442969023</v>
      </c>
      <c r="P193">
        <v>0.70539643021834586</v>
      </c>
    </row>
    <row r="194" spans="1:16" ht="14.25" customHeight="1">
      <c r="A194" s="1" t="s">
        <v>279</v>
      </c>
      <c r="B194" s="1" t="s">
        <v>887</v>
      </c>
      <c r="C194" s="3">
        <v>44743</v>
      </c>
      <c r="D194" s="1" t="s">
        <v>901</v>
      </c>
      <c r="E194" s="1" t="s">
        <v>896</v>
      </c>
      <c r="F194" s="1">
        <v>60</v>
      </c>
      <c r="G194" s="1" t="s">
        <v>2</v>
      </c>
      <c r="H194" s="4">
        <v>12</v>
      </c>
      <c r="I194" s="5">
        <v>0.72481379032239401</v>
      </c>
      <c r="J194">
        <f>Table_3[[#This Row],[Price of One Product]]*Table_3[[#This Row],[No of Products in one Sale]]*(1-Table_3[[#This Row],[Discount]])</f>
        <v>198.13407096787631</v>
      </c>
      <c r="O194">
        <v>198.13407096787631</v>
      </c>
      <c r="P194">
        <v>0.72481379032239401</v>
      </c>
    </row>
    <row r="195" spans="1:16" ht="14.25" customHeight="1">
      <c r="A195" s="1" t="s">
        <v>280</v>
      </c>
      <c r="B195" s="1" t="s">
        <v>883</v>
      </c>
      <c r="C195" s="3">
        <v>44742</v>
      </c>
      <c r="D195" s="1" t="s">
        <v>895</v>
      </c>
      <c r="E195" s="1" t="s">
        <v>898</v>
      </c>
      <c r="F195" s="1">
        <v>72</v>
      </c>
      <c r="G195" s="1" t="s">
        <v>3</v>
      </c>
      <c r="H195" s="4">
        <v>6</v>
      </c>
      <c r="I195" s="5">
        <v>0.21833121955544521</v>
      </c>
      <c r="J195">
        <f>Table_3[[#This Row],[Price of One Product]]*Table_3[[#This Row],[No of Products in one Sale]]*(1-Table_3[[#This Row],[Discount]])</f>
        <v>337.68091315204765</v>
      </c>
      <c r="O195">
        <v>337.68091315204765</v>
      </c>
      <c r="P195">
        <v>0.21833121955544521</v>
      </c>
    </row>
    <row r="196" spans="1:16" ht="14.25" customHeight="1">
      <c r="A196" s="1" t="s">
        <v>281</v>
      </c>
      <c r="B196" s="1" t="s">
        <v>884</v>
      </c>
      <c r="C196" s="3">
        <v>44747</v>
      </c>
      <c r="D196" s="1" t="s">
        <v>897</v>
      </c>
      <c r="E196" s="1" t="s">
        <v>896</v>
      </c>
      <c r="F196" s="1">
        <v>65</v>
      </c>
      <c r="G196" s="1" t="s">
        <v>1</v>
      </c>
      <c r="H196" s="4">
        <v>8</v>
      </c>
      <c r="I196" s="5">
        <v>0.33253524453952932</v>
      </c>
      <c r="J196">
        <f>Table_3[[#This Row],[Price of One Product]]*Table_3[[#This Row],[No of Products in one Sale]]*(1-Table_3[[#This Row],[Discount]])</f>
        <v>347.08167283944476</v>
      </c>
      <c r="O196">
        <v>347.08167283944476</v>
      </c>
      <c r="P196">
        <v>0.33253524453952932</v>
      </c>
    </row>
    <row r="197" spans="1:16" ht="14.25" customHeight="1">
      <c r="A197" s="1" t="s">
        <v>282</v>
      </c>
      <c r="B197" s="1" t="s">
        <v>885</v>
      </c>
      <c r="C197" s="3">
        <v>44764</v>
      </c>
      <c r="D197" s="1" t="s">
        <v>899</v>
      </c>
      <c r="E197" s="1" t="s">
        <v>898</v>
      </c>
      <c r="F197" s="1">
        <v>250</v>
      </c>
      <c r="G197" s="1" t="s">
        <v>2</v>
      </c>
      <c r="H197" s="4">
        <v>2</v>
      </c>
      <c r="I197" s="5">
        <v>0.39793552100289009</v>
      </c>
      <c r="J197">
        <f>Table_3[[#This Row],[Price of One Product]]*Table_3[[#This Row],[No of Products in one Sale]]*(1-Table_3[[#This Row],[Discount]])</f>
        <v>301.03223949855493</v>
      </c>
      <c r="O197">
        <v>301.03223949855493</v>
      </c>
      <c r="P197">
        <v>0.39793552100289009</v>
      </c>
    </row>
    <row r="198" spans="1:16" ht="14.25" customHeight="1">
      <c r="A198" s="1" t="s">
        <v>283</v>
      </c>
      <c r="B198" s="1" t="s">
        <v>886</v>
      </c>
      <c r="C198" s="3">
        <v>44735</v>
      </c>
      <c r="D198" s="1" t="s">
        <v>900</v>
      </c>
      <c r="E198" s="1" t="s">
        <v>896</v>
      </c>
      <c r="F198" s="1">
        <v>130</v>
      </c>
      <c r="G198" s="1" t="s">
        <v>3</v>
      </c>
      <c r="H198" s="4">
        <v>4</v>
      </c>
      <c r="I198" s="5">
        <v>0.83519533088641318</v>
      </c>
      <c r="J198">
        <f>Table_3[[#This Row],[Price of One Product]]*Table_3[[#This Row],[No of Products in one Sale]]*(1-Table_3[[#This Row],[Discount]])</f>
        <v>85.698427939065141</v>
      </c>
      <c r="O198">
        <v>85.698427939065141</v>
      </c>
      <c r="P198">
        <v>0.83519533088641318</v>
      </c>
    </row>
    <row r="199" spans="1:16" ht="14.25" customHeight="1">
      <c r="A199" s="1" t="s">
        <v>284</v>
      </c>
      <c r="B199" s="1" t="s">
        <v>883</v>
      </c>
      <c r="C199" s="3">
        <v>44737</v>
      </c>
      <c r="D199" s="1" t="s">
        <v>895</v>
      </c>
      <c r="E199" s="1" t="s">
        <v>898</v>
      </c>
      <c r="F199" s="1">
        <v>72</v>
      </c>
      <c r="G199" s="1" t="s">
        <v>1</v>
      </c>
      <c r="H199" s="4">
        <v>10</v>
      </c>
      <c r="I199" s="5">
        <v>8.7312208799101843E-3</v>
      </c>
      <c r="J199">
        <f>Table_3[[#This Row],[Price of One Product]]*Table_3[[#This Row],[No of Products in one Sale]]*(1-Table_3[[#This Row],[Discount]])</f>
        <v>713.71352096646467</v>
      </c>
      <c r="O199">
        <v>713.71352096646467</v>
      </c>
      <c r="P199">
        <v>8.7312208799101843E-3</v>
      </c>
    </row>
    <row r="200" spans="1:16" ht="14.25" customHeight="1">
      <c r="A200" s="1" t="s">
        <v>285</v>
      </c>
      <c r="B200" s="1" t="s">
        <v>884</v>
      </c>
      <c r="C200" s="3">
        <v>44749</v>
      </c>
      <c r="D200" s="1" t="s">
        <v>897</v>
      </c>
      <c r="E200" s="1" t="s">
        <v>896</v>
      </c>
      <c r="F200" s="1">
        <v>65</v>
      </c>
      <c r="G200" s="1" t="s">
        <v>2</v>
      </c>
      <c r="H200" s="4">
        <v>12</v>
      </c>
      <c r="I200" s="5">
        <v>0.95071636556912675</v>
      </c>
      <c r="J200">
        <f>Table_3[[#This Row],[Price of One Product]]*Table_3[[#This Row],[No of Products in one Sale]]*(1-Table_3[[#This Row],[Discount]])</f>
        <v>38.441234856081131</v>
      </c>
      <c r="O200">
        <v>38.441234856081131</v>
      </c>
      <c r="P200">
        <v>0.95071636556912675</v>
      </c>
    </row>
    <row r="201" spans="1:16" ht="14.25" customHeight="1">
      <c r="A201" s="1" t="s">
        <v>286</v>
      </c>
      <c r="B201" s="1" t="s">
        <v>885</v>
      </c>
      <c r="C201" s="3">
        <v>44729</v>
      </c>
      <c r="D201" s="1" t="s">
        <v>899</v>
      </c>
      <c r="E201" s="1" t="s">
        <v>898</v>
      </c>
      <c r="F201" s="1">
        <v>250</v>
      </c>
      <c r="G201" s="1" t="s">
        <v>3</v>
      </c>
      <c r="H201" s="4">
        <v>4</v>
      </c>
      <c r="I201" s="5">
        <v>6.5110770871939172E-2</v>
      </c>
      <c r="J201">
        <f>Table_3[[#This Row],[Price of One Product]]*Table_3[[#This Row],[No of Products in one Sale]]*(1-Table_3[[#This Row],[Discount]])</f>
        <v>934.88922912806083</v>
      </c>
      <c r="O201">
        <v>934.88922912806083</v>
      </c>
      <c r="P201">
        <v>6.5110770871939172E-2</v>
      </c>
    </row>
    <row r="202" spans="1:16" ht="14.25" customHeight="1">
      <c r="A202" s="1" t="s">
        <v>287</v>
      </c>
      <c r="B202" s="1" t="s">
        <v>886</v>
      </c>
      <c r="C202" s="3">
        <v>44738</v>
      </c>
      <c r="D202" s="1" t="s">
        <v>900</v>
      </c>
      <c r="E202" s="1" t="s">
        <v>896</v>
      </c>
      <c r="F202" s="1">
        <v>130</v>
      </c>
      <c r="G202" s="1" t="s">
        <v>1</v>
      </c>
      <c r="H202" s="4">
        <v>6</v>
      </c>
      <c r="I202" s="5">
        <v>0.43772024513265795</v>
      </c>
      <c r="J202">
        <f>Table_3[[#This Row],[Price of One Product]]*Table_3[[#This Row],[No of Products in one Sale]]*(1-Table_3[[#This Row],[Discount]])</f>
        <v>438.57820879652678</v>
      </c>
      <c r="O202">
        <v>438.57820879652678</v>
      </c>
      <c r="P202">
        <v>0.43772024513265795</v>
      </c>
    </row>
    <row r="203" spans="1:16" ht="14.25" customHeight="1">
      <c r="A203" s="1" t="s">
        <v>288</v>
      </c>
      <c r="B203" s="1" t="s">
        <v>887</v>
      </c>
      <c r="C203" s="3">
        <v>44740</v>
      </c>
      <c r="D203" s="1" t="s">
        <v>901</v>
      </c>
      <c r="E203" s="1" t="s">
        <v>896</v>
      </c>
      <c r="F203" s="1">
        <v>60</v>
      </c>
      <c r="G203" s="1" t="s">
        <v>2</v>
      </c>
      <c r="H203" s="4">
        <v>7</v>
      </c>
      <c r="I203" s="5">
        <v>0.41853663840169475</v>
      </c>
      <c r="J203">
        <f>Table_3[[#This Row],[Price of One Product]]*Table_3[[#This Row],[No of Products in one Sale]]*(1-Table_3[[#This Row],[Discount]])</f>
        <v>244.21461187128821</v>
      </c>
      <c r="O203">
        <v>244.21461187128821</v>
      </c>
      <c r="P203">
        <v>0.41853663840169475</v>
      </c>
    </row>
    <row r="204" spans="1:16" ht="14.25" customHeight="1">
      <c r="A204" s="1" t="s">
        <v>289</v>
      </c>
      <c r="B204" s="1" t="s">
        <v>888</v>
      </c>
      <c r="C204" s="3">
        <v>44755</v>
      </c>
      <c r="D204" s="1" t="s">
        <v>902</v>
      </c>
      <c r="E204" s="1" t="s">
        <v>898</v>
      </c>
      <c r="F204" s="1">
        <v>95</v>
      </c>
      <c r="G204" s="1" t="s">
        <v>3</v>
      </c>
      <c r="H204" s="4">
        <v>7</v>
      </c>
      <c r="I204" s="5">
        <v>0.38824165845812764</v>
      </c>
      <c r="J204">
        <f>Table_3[[#This Row],[Price of One Product]]*Table_3[[#This Row],[No of Products in one Sale]]*(1-Table_3[[#This Row],[Discount]])</f>
        <v>406.81929712534514</v>
      </c>
      <c r="O204">
        <v>406.81929712534514</v>
      </c>
      <c r="P204">
        <v>0.38824165845812764</v>
      </c>
    </row>
    <row r="205" spans="1:16" ht="14.25" customHeight="1">
      <c r="A205" s="1" t="s">
        <v>290</v>
      </c>
      <c r="B205" s="1" t="s">
        <v>883</v>
      </c>
      <c r="C205" s="3">
        <v>44755</v>
      </c>
      <c r="D205" s="1" t="s">
        <v>895</v>
      </c>
      <c r="E205" s="1" t="s">
        <v>898</v>
      </c>
      <c r="F205" s="1">
        <v>72</v>
      </c>
      <c r="G205" s="1" t="s">
        <v>1</v>
      </c>
      <c r="H205" s="4">
        <v>3</v>
      </c>
      <c r="I205" s="5">
        <v>0.75434060698733896</v>
      </c>
      <c r="J205">
        <f>Table_3[[#This Row],[Price of One Product]]*Table_3[[#This Row],[No of Products in one Sale]]*(1-Table_3[[#This Row],[Discount]])</f>
        <v>53.062428890734786</v>
      </c>
      <c r="O205">
        <v>53.062428890734786</v>
      </c>
      <c r="P205">
        <v>0.75434060698733896</v>
      </c>
    </row>
    <row r="206" spans="1:16" ht="14.25" customHeight="1">
      <c r="A206" s="1" t="s">
        <v>291</v>
      </c>
      <c r="B206" s="1" t="s">
        <v>884</v>
      </c>
      <c r="C206" s="3">
        <v>44764</v>
      </c>
      <c r="D206" s="1" t="s">
        <v>897</v>
      </c>
      <c r="E206" s="1" t="s">
        <v>898</v>
      </c>
      <c r="F206" s="1">
        <v>65</v>
      </c>
      <c r="G206" s="1" t="s">
        <v>2</v>
      </c>
      <c r="H206" s="4">
        <v>12</v>
      </c>
      <c r="I206" s="5">
        <v>0.61587381700020483</v>
      </c>
      <c r="J206">
        <f>Table_3[[#This Row],[Price of One Product]]*Table_3[[#This Row],[No of Products in one Sale]]*(1-Table_3[[#This Row],[Discount]])</f>
        <v>299.61842273984024</v>
      </c>
      <c r="O206">
        <v>299.61842273984024</v>
      </c>
      <c r="P206">
        <v>0.61587381700020483</v>
      </c>
    </row>
    <row r="207" spans="1:16" ht="14.25" customHeight="1">
      <c r="A207" s="1" t="s">
        <v>292</v>
      </c>
      <c r="B207" s="1" t="s">
        <v>885</v>
      </c>
      <c r="C207" s="3">
        <v>44735</v>
      </c>
      <c r="D207" s="1" t="s">
        <v>899</v>
      </c>
      <c r="E207" s="1" t="s">
        <v>896</v>
      </c>
      <c r="F207" s="1">
        <v>250</v>
      </c>
      <c r="G207" s="1" t="s">
        <v>3</v>
      </c>
      <c r="H207" s="4">
        <v>2</v>
      </c>
      <c r="I207" s="5">
        <v>0.80006888756762451</v>
      </c>
      <c r="J207">
        <f>Table_3[[#This Row],[Price of One Product]]*Table_3[[#This Row],[No of Products in one Sale]]*(1-Table_3[[#This Row],[Discount]])</f>
        <v>99.96555621618775</v>
      </c>
      <c r="O207">
        <v>99.96555621618775</v>
      </c>
      <c r="P207">
        <v>0.80006888756762451</v>
      </c>
    </row>
    <row r="208" spans="1:16" ht="14.25" customHeight="1">
      <c r="A208" s="1" t="s">
        <v>293</v>
      </c>
      <c r="B208" s="1" t="s">
        <v>886</v>
      </c>
      <c r="C208" s="3">
        <v>44734</v>
      </c>
      <c r="D208" s="1" t="s">
        <v>900</v>
      </c>
      <c r="E208" s="1" t="s">
        <v>896</v>
      </c>
      <c r="F208" s="1">
        <v>130</v>
      </c>
      <c r="G208" s="1" t="s">
        <v>1</v>
      </c>
      <c r="H208" s="4">
        <v>5</v>
      </c>
      <c r="I208" s="5">
        <v>0.68228949683615203</v>
      </c>
      <c r="J208">
        <f>Table_3[[#This Row],[Price of One Product]]*Table_3[[#This Row],[No of Products in one Sale]]*(1-Table_3[[#This Row],[Discount]])</f>
        <v>206.51182705650118</v>
      </c>
      <c r="O208">
        <v>206.51182705650118</v>
      </c>
      <c r="P208">
        <v>0.68228949683615203</v>
      </c>
    </row>
    <row r="209" spans="1:16" ht="14.25" customHeight="1">
      <c r="A209" s="1" t="s">
        <v>294</v>
      </c>
      <c r="B209" s="1" t="s">
        <v>883</v>
      </c>
      <c r="C209" s="3">
        <v>44728</v>
      </c>
      <c r="D209" s="1" t="s">
        <v>895</v>
      </c>
      <c r="E209" s="1" t="s">
        <v>896</v>
      </c>
      <c r="F209" s="1">
        <v>72</v>
      </c>
      <c r="G209" s="1" t="s">
        <v>2</v>
      </c>
      <c r="H209" s="4">
        <v>10</v>
      </c>
      <c r="I209" s="5">
        <v>1.6479509006877335E-2</v>
      </c>
      <c r="J209">
        <f>Table_3[[#This Row],[Price of One Product]]*Table_3[[#This Row],[No of Products in one Sale]]*(1-Table_3[[#This Row],[Discount]])</f>
        <v>708.13475351504837</v>
      </c>
      <c r="O209">
        <v>708.13475351504837</v>
      </c>
      <c r="P209">
        <v>1.6479509006877335E-2</v>
      </c>
    </row>
    <row r="210" spans="1:16" ht="14.25" customHeight="1">
      <c r="A210" s="1" t="s">
        <v>295</v>
      </c>
      <c r="B210" s="1" t="s">
        <v>884</v>
      </c>
      <c r="C210" s="3">
        <v>44739</v>
      </c>
      <c r="D210" s="1" t="s">
        <v>897</v>
      </c>
      <c r="E210" s="1" t="s">
        <v>896</v>
      </c>
      <c r="F210" s="1">
        <v>65</v>
      </c>
      <c r="G210" s="1" t="s">
        <v>3</v>
      </c>
      <c r="H210" s="4">
        <v>10</v>
      </c>
      <c r="I210" s="5">
        <v>0.23078123893127422</v>
      </c>
      <c r="J210">
        <f>Table_3[[#This Row],[Price of One Product]]*Table_3[[#This Row],[No of Products in one Sale]]*(1-Table_3[[#This Row],[Discount]])</f>
        <v>499.99219469467175</v>
      </c>
      <c r="O210">
        <v>499.99219469467175</v>
      </c>
      <c r="P210">
        <v>0.23078123893127422</v>
      </c>
    </row>
    <row r="211" spans="1:16" ht="14.25" customHeight="1">
      <c r="A211" s="1" t="s">
        <v>296</v>
      </c>
      <c r="B211" s="1" t="s">
        <v>885</v>
      </c>
      <c r="C211" s="3">
        <v>44765</v>
      </c>
      <c r="D211" s="1" t="s">
        <v>899</v>
      </c>
      <c r="E211" s="1" t="s">
        <v>896</v>
      </c>
      <c r="F211" s="1">
        <v>250</v>
      </c>
      <c r="G211" s="1" t="s">
        <v>1</v>
      </c>
      <c r="H211" s="4">
        <v>3</v>
      </c>
      <c r="I211" s="5">
        <v>2.2225272121484729E-2</v>
      </c>
      <c r="J211">
        <f>Table_3[[#This Row],[Price of One Product]]*Table_3[[#This Row],[No of Products in one Sale]]*(1-Table_3[[#This Row],[Discount]])</f>
        <v>733.33104590888649</v>
      </c>
      <c r="O211">
        <v>733.33104590888649</v>
      </c>
      <c r="P211">
        <v>2.2225272121484729E-2</v>
      </c>
    </row>
    <row r="212" spans="1:16" ht="14.25" customHeight="1">
      <c r="A212" s="1" t="s">
        <v>297</v>
      </c>
      <c r="B212" s="1" t="s">
        <v>886</v>
      </c>
      <c r="C212" s="3">
        <v>44740</v>
      </c>
      <c r="D212" s="1" t="s">
        <v>900</v>
      </c>
      <c r="E212" s="1" t="s">
        <v>896</v>
      </c>
      <c r="F212" s="1">
        <v>130</v>
      </c>
      <c r="G212" s="1" t="s">
        <v>2</v>
      </c>
      <c r="H212" s="4">
        <v>3</v>
      </c>
      <c r="I212" s="5">
        <v>0.72206439626516772</v>
      </c>
      <c r="J212">
        <f>Table_3[[#This Row],[Price of One Product]]*Table_3[[#This Row],[No of Products in one Sale]]*(1-Table_3[[#This Row],[Discount]])</f>
        <v>108.39488545658459</v>
      </c>
      <c r="O212">
        <v>108.39488545658459</v>
      </c>
      <c r="P212">
        <v>0.72206439626516772</v>
      </c>
    </row>
    <row r="213" spans="1:16" ht="14.25" customHeight="1">
      <c r="A213" s="1" t="s">
        <v>298</v>
      </c>
      <c r="B213" s="1" t="s">
        <v>887</v>
      </c>
      <c r="C213" s="3">
        <v>44734</v>
      </c>
      <c r="D213" s="1" t="s">
        <v>901</v>
      </c>
      <c r="E213" s="1" t="s">
        <v>896</v>
      </c>
      <c r="F213" s="1">
        <v>60</v>
      </c>
      <c r="G213" s="1" t="s">
        <v>3</v>
      </c>
      <c r="H213" s="4">
        <v>7</v>
      </c>
      <c r="I213" s="5">
        <v>0.66067744665264683</v>
      </c>
      <c r="J213">
        <f>Table_3[[#This Row],[Price of One Product]]*Table_3[[#This Row],[No of Products in one Sale]]*(1-Table_3[[#This Row],[Discount]])</f>
        <v>142.51547240588835</v>
      </c>
      <c r="O213">
        <v>142.51547240588835</v>
      </c>
      <c r="P213">
        <v>0.66067744665264683</v>
      </c>
    </row>
    <row r="214" spans="1:16" ht="14.25" customHeight="1">
      <c r="A214" s="1" t="s">
        <v>299</v>
      </c>
      <c r="B214" s="1" t="s">
        <v>883</v>
      </c>
      <c r="C214" s="3">
        <v>44727</v>
      </c>
      <c r="D214" s="1" t="s">
        <v>895</v>
      </c>
      <c r="E214" s="1" t="s">
        <v>896</v>
      </c>
      <c r="F214" s="1">
        <v>72</v>
      </c>
      <c r="G214" s="1" t="s">
        <v>1</v>
      </c>
      <c r="H214" s="4">
        <v>6</v>
      </c>
      <c r="I214" s="5">
        <v>0.14048396352986114</v>
      </c>
      <c r="J214">
        <f>Table_3[[#This Row],[Price of One Product]]*Table_3[[#This Row],[No of Products in one Sale]]*(1-Table_3[[#This Row],[Discount]])</f>
        <v>371.31092775510001</v>
      </c>
      <c r="O214">
        <v>371.31092775510001</v>
      </c>
      <c r="P214">
        <v>0.14048396352986114</v>
      </c>
    </row>
    <row r="215" spans="1:16" ht="14.25" customHeight="1">
      <c r="A215" s="1" t="s">
        <v>300</v>
      </c>
      <c r="B215" s="1" t="s">
        <v>884</v>
      </c>
      <c r="C215" s="3">
        <v>44737</v>
      </c>
      <c r="D215" s="1" t="s">
        <v>897</v>
      </c>
      <c r="E215" s="1" t="s">
        <v>896</v>
      </c>
      <c r="F215" s="1">
        <v>65</v>
      </c>
      <c r="G215" s="1" t="s">
        <v>2</v>
      </c>
      <c r="H215" s="4">
        <v>8</v>
      </c>
      <c r="I215" s="5">
        <v>0.37872981249566817</v>
      </c>
      <c r="J215">
        <f>Table_3[[#This Row],[Price of One Product]]*Table_3[[#This Row],[No of Products in one Sale]]*(1-Table_3[[#This Row],[Discount]])</f>
        <v>323.06049750225253</v>
      </c>
      <c r="O215">
        <v>323.06049750225253</v>
      </c>
      <c r="P215">
        <v>0.37872981249566817</v>
      </c>
    </row>
    <row r="216" spans="1:16" ht="14.25" customHeight="1">
      <c r="A216" s="1" t="s">
        <v>301</v>
      </c>
      <c r="B216" s="1" t="s">
        <v>885</v>
      </c>
      <c r="C216" s="3">
        <v>44747</v>
      </c>
      <c r="D216" s="1" t="s">
        <v>899</v>
      </c>
      <c r="E216" s="1" t="s">
        <v>898</v>
      </c>
      <c r="F216" s="1">
        <v>250</v>
      </c>
      <c r="G216" s="1" t="s">
        <v>3</v>
      </c>
      <c r="H216" s="4">
        <v>2</v>
      </c>
      <c r="I216" s="5">
        <v>0.71515589694127546</v>
      </c>
      <c r="J216">
        <f>Table_3[[#This Row],[Price of One Product]]*Table_3[[#This Row],[No of Products in one Sale]]*(1-Table_3[[#This Row],[Discount]])</f>
        <v>142.42205152936228</v>
      </c>
      <c r="O216">
        <v>142.42205152936228</v>
      </c>
      <c r="P216">
        <v>0.71515589694127546</v>
      </c>
    </row>
    <row r="217" spans="1:16" ht="14.25" customHeight="1">
      <c r="A217" s="1" t="s">
        <v>302</v>
      </c>
      <c r="B217" s="1" t="s">
        <v>886</v>
      </c>
      <c r="C217" s="3">
        <v>44754</v>
      </c>
      <c r="D217" s="1" t="s">
        <v>900</v>
      </c>
      <c r="E217" s="1" t="s">
        <v>896</v>
      </c>
      <c r="F217" s="1">
        <v>130</v>
      </c>
      <c r="G217" s="1" t="s">
        <v>1</v>
      </c>
      <c r="H217" s="4">
        <v>6</v>
      </c>
      <c r="I217" s="5">
        <v>0.21412519358799298</v>
      </c>
      <c r="J217">
        <f>Table_3[[#This Row],[Price of One Product]]*Table_3[[#This Row],[No of Products in one Sale]]*(1-Table_3[[#This Row],[Discount]])</f>
        <v>612.98234900136549</v>
      </c>
      <c r="O217">
        <v>612.98234900136549</v>
      </c>
      <c r="P217">
        <v>0.21412519358799298</v>
      </c>
    </row>
    <row r="218" spans="1:16" ht="14.25" customHeight="1">
      <c r="A218" s="1" t="s">
        <v>303</v>
      </c>
      <c r="B218" s="1" t="s">
        <v>883</v>
      </c>
      <c r="C218" s="3">
        <v>44760</v>
      </c>
      <c r="D218" s="1" t="s">
        <v>895</v>
      </c>
      <c r="E218" s="1" t="s">
        <v>896</v>
      </c>
      <c r="F218" s="1">
        <v>72</v>
      </c>
      <c r="G218" s="1" t="s">
        <v>2</v>
      </c>
      <c r="H218" s="4">
        <v>6</v>
      </c>
      <c r="I218" s="5">
        <v>0.16455091596073168</v>
      </c>
      <c r="J218">
        <f>Table_3[[#This Row],[Price of One Product]]*Table_3[[#This Row],[No of Products in one Sale]]*(1-Table_3[[#This Row],[Discount]])</f>
        <v>360.9140043049639</v>
      </c>
      <c r="O218">
        <v>360.9140043049639</v>
      </c>
      <c r="P218">
        <v>0.16455091596073168</v>
      </c>
    </row>
    <row r="219" spans="1:16" ht="14.25" customHeight="1">
      <c r="A219" s="1" t="s">
        <v>304</v>
      </c>
      <c r="B219" s="1" t="s">
        <v>884</v>
      </c>
      <c r="C219" s="3">
        <v>44759</v>
      </c>
      <c r="D219" s="1" t="s">
        <v>897</v>
      </c>
      <c r="E219" s="1" t="s">
        <v>896</v>
      </c>
      <c r="F219" s="1">
        <v>65</v>
      </c>
      <c r="G219" s="1" t="s">
        <v>3</v>
      </c>
      <c r="H219" s="4">
        <v>4</v>
      </c>
      <c r="I219" s="5">
        <v>0.25666907491668522</v>
      </c>
      <c r="J219">
        <f>Table_3[[#This Row],[Price of One Product]]*Table_3[[#This Row],[No of Products in one Sale]]*(1-Table_3[[#This Row],[Discount]])</f>
        <v>193.26604052166184</v>
      </c>
      <c r="O219">
        <v>193.26604052166184</v>
      </c>
      <c r="P219">
        <v>0.25666907491668522</v>
      </c>
    </row>
    <row r="220" spans="1:16" ht="14.25" customHeight="1">
      <c r="A220" s="1" t="s">
        <v>305</v>
      </c>
      <c r="B220" s="1" t="s">
        <v>885</v>
      </c>
      <c r="C220" s="3">
        <v>44735</v>
      </c>
      <c r="D220" s="1" t="s">
        <v>899</v>
      </c>
      <c r="E220" s="1" t="s">
        <v>896</v>
      </c>
      <c r="F220" s="1">
        <v>250</v>
      </c>
      <c r="G220" s="1" t="s">
        <v>1</v>
      </c>
      <c r="H220" s="4">
        <v>3</v>
      </c>
      <c r="I220" s="5">
        <v>0.90160231788426648</v>
      </c>
      <c r="J220">
        <f>Table_3[[#This Row],[Price of One Product]]*Table_3[[#This Row],[No of Products in one Sale]]*(1-Table_3[[#This Row],[Discount]])</f>
        <v>73.798261586800137</v>
      </c>
      <c r="O220">
        <v>73.798261586800137</v>
      </c>
      <c r="P220">
        <v>0.90160231788426648</v>
      </c>
    </row>
    <row r="221" spans="1:16" ht="14.25" customHeight="1">
      <c r="A221" s="1" t="s">
        <v>306</v>
      </c>
      <c r="B221" s="1" t="s">
        <v>886</v>
      </c>
      <c r="C221" s="3">
        <v>44734</v>
      </c>
      <c r="D221" s="1" t="s">
        <v>900</v>
      </c>
      <c r="E221" s="1" t="s">
        <v>896</v>
      </c>
      <c r="F221" s="1">
        <v>130</v>
      </c>
      <c r="G221" s="1" t="s">
        <v>2</v>
      </c>
      <c r="H221" s="4">
        <v>2</v>
      </c>
      <c r="I221" s="5">
        <v>0.320164833885899</v>
      </c>
      <c r="J221">
        <f>Table_3[[#This Row],[Price of One Product]]*Table_3[[#This Row],[No of Products in one Sale]]*(1-Table_3[[#This Row],[Discount]])</f>
        <v>176.75714318966627</v>
      </c>
      <c r="O221">
        <v>176.75714318966627</v>
      </c>
      <c r="P221">
        <v>0.320164833885899</v>
      </c>
    </row>
    <row r="222" spans="1:16" ht="14.25" customHeight="1">
      <c r="A222" s="1" t="s">
        <v>307</v>
      </c>
      <c r="B222" s="1" t="s">
        <v>887</v>
      </c>
      <c r="C222" s="3">
        <v>44753</v>
      </c>
      <c r="D222" s="1" t="s">
        <v>901</v>
      </c>
      <c r="E222" s="1" t="s">
        <v>898</v>
      </c>
      <c r="F222" s="1">
        <v>60</v>
      </c>
      <c r="G222" s="1" t="s">
        <v>3</v>
      </c>
      <c r="H222" s="4">
        <v>9</v>
      </c>
      <c r="I222" s="5">
        <v>0.13498450487731639</v>
      </c>
      <c r="J222">
        <f>Table_3[[#This Row],[Price of One Product]]*Table_3[[#This Row],[No of Products in one Sale]]*(1-Table_3[[#This Row],[Discount]])</f>
        <v>467.10836736624913</v>
      </c>
      <c r="O222">
        <v>467.10836736624913</v>
      </c>
      <c r="P222">
        <v>0.13498450487731639</v>
      </c>
    </row>
    <row r="223" spans="1:16" ht="14.25" customHeight="1">
      <c r="A223" s="1" t="s">
        <v>308</v>
      </c>
      <c r="B223" s="1" t="s">
        <v>888</v>
      </c>
      <c r="C223" s="3">
        <v>44739</v>
      </c>
      <c r="D223" s="1" t="s">
        <v>902</v>
      </c>
      <c r="E223" s="1" t="s">
        <v>896</v>
      </c>
      <c r="F223" s="1">
        <v>95</v>
      </c>
      <c r="G223" s="1" t="s">
        <v>1</v>
      </c>
      <c r="H223" s="4">
        <v>5</v>
      </c>
      <c r="I223" s="5">
        <v>0.91789593738279973</v>
      </c>
      <c r="J223">
        <f>Table_3[[#This Row],[Price of One Product]]*Table_3[[#This Row],[No of Products in one Sale]]*(1-Table_3[[#This Row],[Discount]])</f>
        <v>38.999429743170126</v>
      </c>
      <c r="O223">
        <v>38.999429743170126</v>
      </c>
      <c r="P223">
        <v>0.91789593738279973</v>
      </c>
    </row>
    <row r="224" spans="1:16" ht="14.25" customHeight="1">
      <c r="A224" s="1" t="s">
        <v>309</v>
      </c>
      <c r="B224" s="1" t="s">
        <v>883</v>
      </c>
      <c r="C224" s="3">
        <v>44740</v>
      </c>
      <c r="D224" s="1" t="s">
        <v>895</v>
      </c>
      <c r="E224" s="1" t="s">
        <v>896</v>
      </c>
      <c r="F224" s="1">
        <v>72</v>
      </c>
      <c r="G224" s="1" t="s">
        <v>2</v>
      </c>
      <c r="H224" s="4">
        <v>3</v>
      </c>
      <c r="I224" s="5">
        <v>0.98021726342122206</v>
      </c>
      <c r="J224">
        <f>Table_3[[#This Row],[Price of One Product]]*Table_3[[#This Row],[No of Products in one Sale]]*(1-Table_3[[#This Row],[Discount]])</f>
        <v>4.2730711010160345</v>
      </c>
      <c r="O224">
        <v>4.2730711010160345</v>
      </c>
      <c r="P224">
        <v>0.98021726342122206</v>
      </c>
    </row>
    <row r="225" spans="1:16" ht="14.25" customHeight="1">
      <c r="A225" s="1" t="s">
        <v>310</v>
      </c>
      <c r="B225" s="1" t="s">
        <v>884</v>
      </c>
      <c r="C225" s="3">
        <v>44748</v>
      </c>
      <c r="D225" s="1" t="s">
        <v>897</v>
      </c>
      <c r="E225" s="1" t="s">
        <v>896</v>
      </c>
      <c r="F225" s="1">
        <v>65</v>
      </c>
      <c r="G225" s="1" t="s">
        <v>3</v>
      </c>
      <c r="H225" s="4">
        <v>7</v>
      </c>
      <c r="I225" s="5">
        <v>6.7354248366482961E-2</v>
      </c>
      <c r="J225">
        <f>Table_3[[#This Row],[Price of One Product]]*Table_3[[#This Row],[No of Products in one Sale]]*(1-Table_3[[#This Row],[Discount]])</f>
        <v>424.35381699325023</v>
      </c>
      <c r="O225">
        <v>424.35381699325023</v>
      </c>
      <c r="P225">
        <v>6.7354248366482961E-2</v>
      </c>
    </row>
    <row r="226" spans="1:16" ht="14.25" customHeight="1">
      <c r="A226" s="1" t="s">
        <v>311</v>
      </c>
      <c r="B226" s="1" t="s">
        <v>885</v>
      </c>
      <c r="C226" s="3">
        <v>44731</v>
      </c>
      <c r="D226" s="1" t="s">
        <v>899</v>
      </c>
      <c r="E226" s="1" t="s">
        <v>898</v>
      </c>
      <c r="F226" s="1">
        <v>250</v>
      </c>
      <c r="G226" s="1" t="s">
        <v>1</v>
      </c>
      <c r="H226" s="4">
        <v>2</v>
      </c>
      <c r="I226" s="5">
        <v>0.49907272133883429</v>
      </c>
      <c r="J226">
        <f>Table_3[[#This Row],[Price of One Product]]*Table_3[[#This Row],[No of Products in one Sale]]*(1-Table_3[[#This Row],[Discount]])</f>
        <v>250.46363933058285</v>
      </c>
      <c r="O226">
        <v>250.46363933058285</v>
      </c>
      <c r="P226">
        <v>0.49907272133883429</v>
      </c>
    </row>
    <row r="227" spans="1:16" ht="14.25" customHeight="1">
      <c r="A227" s="1" t="s">
        <v>312</v>
      </c>
      <c r="B227" s="1" t="s">
        <v>886</v>
      </c>
      <c r="C227" s="3">
        <v>44763</v>
      </c>
      <c r="D227" s="1" t="s">
        <v>900</v>
      </c>
      <c r="E227" s="1" t="s">
        <v>898</v>
      </c>
      <c r="F227" s="1">
        <v>130</v>
      </c>
      <c r="G227" s="1" t="s">
        <v>2</v>
      </c>
      <c r="H227" s="4">
        <v>5</v>
      </c>
      <c r="I227" s="5">
        <v>0.61466468459589796</v>
      </c>
      <c r="J227">
        <f>Table_3[[#This Row],[Price of One Product]]*Table_3[[#This Row],[No of Products in one Sale]]*(1-Table_3[[#This Row],[Discount]])</f>
        <v>250.46795501266632</v>
      </c>
      <c r="O227">
        <v>250.46795501266632</v>
      </c>
      <c r="P227">
        <v>0.61466468459589796</v>
      </c>
    </row>
    <row r="228" spans="1:16" ht="14.25" customHeight="1">
      <c r="A228" s="1" t="s">
        <v>313</v>
      </c>
      <c r="B228" s="1" t="s">
        <v>883</v>
      </c>
      <c r="C228" s="3">
        <v>44733</v>
      </c>
      <c r="D228" s="1" t="s">
        <v>895</v>
      </c>
      <c r="E228" s="1" t="s">
        <v>898</v>
      </c>
      <c r="F228" s="1">
        <v>72</v>
      </c>
      <c r="G228" s="1" t="s">
        <v>3</v>
      </c>
      <c r="H228" s="4">
        <v>7</v>
      </c>
      <c r="I228" s="5">
        <v>0.94639798804768638</v>
      </c>
      <c r="J228">
        <f>Table_3[[#This Row],[Price of One Product]]*Table_3[[#This Row],[No of Products in one Sale]]*(1-Table_3[[#This Row],[Discount]])</f>
        <v>27.015414023966066</v>
      </c>
      <c r="O228">
        <v>27.015414023966066</v>
      </c>
      <c r="P228">
        <v>0.94639798804768638</v>
      </c>
    </row>
    <row r="229" spans="1:16" ht="14.25" customHeight="1">
      <c r="A229" s="1" t="s">
        <v>314</v>
      </c>
      <c r="B229" s="1" t="s">
        <v>884</v>
      </c>
      <c r="C229" s="3">
        <v>44746</v>
      </c>
      <c r="D229" s="1" t="s">
        <v>897</v>
      </c>
      <c r="E229" s="1" t="s">
        <v>898</v>
      </c>
      <c r="F229" s="1">
        <v>65</v>
      </c>
      <c r="G229" s="1" t="s">
        <v>1</v>
      </c>
      <c r="H229" s="4">
        <v>10</v>
      </c>
      <c r="I229" s="5">
        <v>0.95168663838417633</v>
      </c>
      <c r="J229">
        <f>Table_3[[#This Row],[Price of One Product]]*Table_3[[#This Row],[No of Products in one Sale]]*(1-Table_3[[#This Row],[Discount]])</f>
        <v>31.403685050285386</v>
      </c>
      <c r="O229">
        <v>31.403685050285386</v>
      </c>
      <c r="P229">
        <v>0.95168663838417633</v>
      </c>
    </row>
    <row r="230" spans="1:16" ht="14.25" customHeight="1">
      <c r="A230" s="1" t="s">
        <v>315</v>
      </c>
      <c r="B230" s="1" t="s">
        <v>885</v>
      </c>
      <c r="C230" s="3">
        <v>44755</v>
      </c>
      <c r="D230" s="1" t="s">
        <v>899</v>
      </c>
      <c r="E230" s="1" t="s">
        <v>898</v>
      </c>
      <c r="F230" s="1">
        <v>250</v>
      </c>
      <c r="G230" s="1" t="s">
        <v>2</v>
      </c>
      <c r="H230" s="4">
        <v>2</v>
      </c>
      <c r="I230" s="5">
        <v>0.55958868077394219</v>
      </c>
      <c r="J230">
        <f>Table_3[[#This Row],[Price of One Product]]*Table_3[[#This Row],[No of Products in one Sale]]*(1-Table_3[[#This Row],[Discount]])</f>
        <v>220.2056596130289</v>
      </c>
      <c r="O230">
        <v>220.2056596130289</v>
      </c>
      <c r="P230">
        <v>0.55958868077394219</v>
      </c>
    </row>
    <row r="231" spans="1:16" ht="14.25" customHeight="1">
      <c r="A231" s="1" t="s">
        <v>316</v>
      </c>
      <c r="B231" s="1" t="s">
        <v>886</v>
      </c>
      <c r="C231" s="3">
        <v>44755</v>
      </c>
      <c r="D231" s="1" t="s">
        <v>900</v>
      </c>
      <c r="E231" s="1" t="s">
        <v>898</v>
      </c>
      <c r="F231" s="1">
        <v>130</v>
      </c>
      <c r="G231" s="1" t="s">
        <v>3</v>
      </c>
      <c r="H231" s="4">
        <v>2</v>
      </c>
      <c r="I231" s="5">
        <v>0.81003936677165544</v>
      </c>
      <c r="J231">
        <f>Table_3[[#This Row],[Price of One Product]]*Table_3[[#This Row],[No of Products in one Sale]]*(1-Table_3[[#This Row],[Discount]])</f>
        <v>49.389764639369588</v>
      </c>
      <c r="O231">
        <v>49.389764639369588</v>
      </c>
      <c r="P231">
        <v>0.81003936677165544</v>
      </c>
    </row>
    <row r="232" spans="1:16" ht="14.25" customHeight="1">
      <c r="A232" s="1" t="s">
        <v>317</v>
      </c>
      <c r="B232" s="1" t="s">
        <v>883</v>
      </c>
      <c r="C232" s="3">
        <v>44727</v>
      </c>
      <c r="D232" s="1" t="s">
        <v>895</v>
      </c>
      <c r="E232" s="1" t="s">
        <v>898</v>
      </c>
      <c r="F232" s="1">
        <v>72</v>
      </c>
      <c r="G232" s="1" t="s">
        <v>3</v>
      </c>
      <c r="H232" s="4">
        <v>12</v>
      </c>
      <c r="I232" s="5">
        <v>0.35450072343254235</v>
      </c>
      <c r="J232">
        <f>Table_3[[#This Row],[Price of One Product]]*Table_3[[#This Row],[No of Products in one Sale]]*(1-Table_3[[#This Row],[Discount]])</f>
        <v>557.71137495428343</v>
      </c>
      <c r="O232">
        <v>557.71137495428343</v>
      </c>
      <c r="P232">
        <v>0.35450072343254235</v>
      </c>
    </row>
    <row r="233" spans="1:16" ht="14.25" customHeight="1">
      <c r="A233" s="1" t="s">
        <v>318</v>
      </c>
      <c r="B233" s="1" t="s">
        <v>884</v>
      </c>
      <c r="C233" s="3">
        <v>44746</v>
      </c>
      <c r="D233" s="1" t="s">
        <v>897</v>
      </c>
      <c r="E233" s="1" t="s">
        <v>896</v>
      </c>
      <c r="F233" s="1">
        <v>65</v>
      </c>
      <c r="G233" s="1" t="s">
        <v>1</v>
      </c>
      <c r="H233" s="4">
        <v>11</v>
      </c>
      <c r="I233" s="5">
        <v>0.34895469608332785</v>
      </c>
      <c r="J233">
        <f>Table_3[[#This Row],[Price of One Product]]*Table_3[[#This Row],[No of Products in one Sale]]*(1-Table_3[[#This Row],[Discount]])</f>
        <v>465.49739230042059</v>
      </c>
      <c r="O233">
        <v>465.49739230042059</v>
      </c>
      <c r="P233">
        <v>0.34895469608332785</v>
      </c>
    </row>
    <row r="234" spans="1:16" ht="14.25" customHeight="1">
      <c r="A234" s="1" t="s">
        <v>319</v>
      </c>
      <c r="B234" s="1" t="s">
        <v>885</v>
      </c>
      <c r="C234" s="3">
        <v>44740</v>
      </c>
      <c r="D234" s="1" t="s">
        <v>899</v>
      </c>
      <c r="E234" s="1" t="s">
        <v>896</v>
      </c>
      <c r="F234" s="1">
        <v>250</v>
      </c>
      <c r="G234" s="1" t="s">
        <v>2</v>
      </c>
      <c r="H234" s="4">
        <v>2</v>
      </c>
      <c r="I234" s="5">
        <v>0.52279578451533193</v>
      </c>
      <c r="J234">
        <f>Table_3[[#This Row],[Price of One Product]]*Table_3[[#This Row],[No of Products in one Sale]]*(1-Table_3[[#This Row],[Discount]])</f>
        <v>238.60210774233403</v>
      </c>
      <c r="O234">
        <v>238.60210774233403</v>
      </c>
      <c r="P234">
        <v>0.52279578451533193</v>
      </c>
    </row>
    <row r="235" spans="1:16" ht="14.25" customHeight="1">
      <c r="A235" s="1" t="s">
        <v>320</v>
      </c>
      <c r="B235" s="1" t="s">
        <v>886</v>
      </c>
      <c r="C235" s="3">
        <v>44743</v>
      </c>
      <c r="D235" s="1" t="s">
        <v>900</v>
      </c>
      <c r="E235" s="1" t="s">
        <v>896</v>
      </c>
      <c r="F235" s="1">
        <v>130</v>
      </c>
      <c r="G235" s="1" t="s">
        <v>3</v>
      </c>
      <c r="H235" s="4">
        <v>3</v>
      </c>
      <c r="I235" s="5">
        <v>0.69617887937852907</v>
      </c>
      <c r="J235">
        <f>Table_3[[#This Row],[Price of One Product]]*Table_3[[#This Row],[No of Products in one Sale]]*(1-Table_3[[#This Row],[Discount]])</f>
        <v>118.49023704237366</v>
      </c>
      <c r="O235">
        <v>118.49023704237366</v>
      </c>
      <c r="P235">
        <v>0.69617887937852907</v>
      </c>
    </row>
    <row r="236" spans="1:16" ht="14.25" customHeight="1">
      <c r="A236" s="1" t="s">
        <v>321</v>
      </c>
      <c r="B236" s="1" t="s">
        <v>883</v>
      </c>
      <c r="C236" s="3">
        <v>44737</v>
      </c>
      <c r="D236" s="1" t="s">
        <v>895</v>
      </c>
      <c r="E236" s="1" t="s">
        <v>898</v>
      </c>
      <c r="F236" s="1">
        <v>72</v>
      </c>
      <c r="G236" s="1" t="s">
        <v>1</v>
      </c>
      <c r="H236" s="4">
        <v>6</v>
      </c>
      <c r="I236" s="5">
        <v>0.55638354082081654</v>
      </c>
      <c r="J236">
        <f>Table_3[[#This Row],[Price of One Product]]*Table_3[[#This Row],[No of Products in one Sale]]*(1-Table_3[[#This Row],[Discount]])</f>
        <v>191.64231036540727</v>
      </c>
      <c r="O236">
        <v>191.64231036540727</v>
      </c>
      <c r="P236">
        <v>0.55638354082081654</v>
      </c>
    </row>
    <row r="237" spans="1:16" ht="14.25" customHeight="1">
      <c r="A237" s="1" t="s">
        <v>322</v>
      </c>
      <c r="B237" s="1" t="s">
        <v>884</v>
      </c>
      <c r="C237" s="3">
        <v>44757</v>
      </c>
      <c r="D237" s="1" t="s">
        <v>897</v>
      </c>
      <c r="E237" s="1" t="s">
        <v>898</v>
      </c>
      <c r="F237" s="1">
        <v>65</v>
      </c>
      <c r="G237" s="1" t="s">
        <v>2</v>
      </c>
      <c r="H237" s="4">
        <v>8</v>
      </c>
      <c r="I237" s="5">
        <v>7.8132692098414003E-2</v>
      </c>
      <c r="J237">
        <f>Table_3[[#This Row],[Price of One Product]]*Table_3[[#This Row],[No of Products in one Sale]]*(1-Table_3[[#This Row],[Discount]])</f>
        <v>479.37100010882472</v>
      </c>
      <c r="O237">
        <v>479.37100010882472</v>
      </c>
      <c r="P237">
        <v>7.8132692098414003E-2</v>
      </c>
    </row>
    <row r="238" spans="1:16" ht="14.25" customHeight="1">
      <c r="A238" s="1" t="s">
        <v>323</v>
      </c>
      <c r="B238" s="1" t="s">
        <v>885</v>
      </c>
      <c r="C238" s="3">
        <v>44745</v>
      </c>
      <c r="D238" s="1" t="s">
        <v>899</v>
      </c>
      <c r="E238" s="1" t="s">
        <v>898</v>
      </c>
      <c r="F238" s="1">
        <v>250</v>
      </c>
      <c r="G238" s="1" t="s">
        <v>3</v>
      </c>
      <c r="H238" s="4">
        <v>1</v>
      </c>
      <c r="I238" s="5">
        <v>0.37783112687678633</v>
      </c>
      <c r="J238">
        <f>Table_3[[#This Row],[Price of One Product]]*Table_3[[#This Row],[No of Products in one Sale]]*(1-Table_3[[#This Row],[Discount]])</f>
        <v>155.54221828080341</v>
      </c>
      <c r="O238">
        <v>155.54221828080341</v>
      </c>
      <c r="P238">
        <v>0.37783112687678633</v>
      </c>
    </row>
    <row r="239" spans="1:16" ht="14.25" customHeight="1">
      <c r="A239" s="1" t="s">
        <v>324</v>
      </c>
      <c r="B239" s="1" t="s">
        <v>886</v>
      </c>
      <c r="C239" s="3">
        <v>44760</v>
      </c>
      <c r="D239" s="1" t="s">
        <v>900</v>
      </c>
      <c r="E239" s="1" t="s">
        <v>898</v>
      </c>
      <c r="F239" s="1">
        <v>130</v>
      </c>
      <c r="G239" s="1" t="s">
        <v>1</v>
      </c>
      <c r="H239" s="4">
        <v>7</v>
      </c>
      <c r="I239" s="5">
        <v>0.34200944354303275</v>
      </c>
      <c r="J239">
        <f>Table_3[[#This Row],[Price of One Product]]*Table_3[[#This Row],[No of Products in one Sale]]*(1-Table_3[[#This Row],[Discount]])</f>
        <v>598.77140637584023</v>
      </c>
      <c r="O239">
        <v>598.77140637584023</v>
      </c>
      <c r="P239">
        <v>0.34200944354303275</v>
      </c>
    </row>
    <row r="240" spans="1:16" ht="14.25" customHeight="1">
      <c r="A240" s="1" t="s">
        <v>325</v>
      </c>
      <c r="B240" s="1" t="s">
        <v>887</v>
      </c>
      <c r="C240" s="3">
        <v>44750</v>
      </c>
      <c r="D240" s="1" t="s">
        <v>901</v>
      </c>
      <c r="E240" s="1" t="s">
        <v>898</v>
      </c>
      <c r="F240" s="1">
        <v>60</v>
      </c>
      <c r="G240" s="1" t="s">
        <v>2</v>
      </c>
      <c r="H240" s="4">
        <v>11</v>
      </c>
      <c r="I240" s="5">
        <v>0.92737976442865855</v>
      </c>
      <c r="J240">
        <f>Table_3[[#This Row],[Price of One Product]]*Table_3[[#This Row],[No of Products in one Sale]]*(1-Table_3[[#This Row],[Discount]])</f>
        <v>47.929355477085359</v>
      </c>
      <c r="O240">
        <v>47.929355477085359</v>
      </c>
      <c r="P240">
        <v>0.92737976442865855</v>
      </c>
    </row>
    <row r="241" spans="1:16" ht="14.25" customHeight="1">
      <c r="A241" s="1" t="s">
        <v>326</v>
      </c>
      <c r="B241" s="1" t="s">
        <v>883</v>
      </c>
      <c r="C241" s="3">
        <v>44742</v>
      </c>
      <c r="D241" s="1" t="s">
        <v>895</v>
      </c>
      <c r="E241" s="1" t="s">
        <v>898</v>
      </c>
      <c r="F241" s="1">
        <v>72</v>
      </c>
      <c r="G241" s="1" t="s">
        <v>3</v>
      </c>
      <c r="H241" s="4">
        <v>6</v>
      </c>
      <c r="I241" s="5">
        <v>0.96938667185148797</v>
      </c>
      <c r="J241">
        <f>Table_3[[#This Row],[Price of One Product]]*Table_3[[#This Row],[No of Products in one Sale]]*(1-Table_3[[#This Row],[Discount]])</f>
        <v>13.224957760157197</v>
      </c>
      <c r="O241">
        <v>13.224957760157197</v>
      </c>
      <c r="P241">
        <v>0.96938667185148797</v>
      </c>
    </row>
    <row r="242" spans="1:16" ht="14.25" customHeight="1">
      <c r="A242" s="1" t="s">
        <v>327</v>
      </c>
      <c r="B242" s="1" t="s">
        <v>884</v>
      </c>
      <c r="C242" s="3">
        <v>44754</v>
      </c>
      <c r="D242" s="1" t="s">
        <v>897</v>
      </c>
      <c r="E242" s="1" t="s">
        <v>898</v>
      </c>
      <c r="F242" s="1">
        <v>65</v>
      </c>
      <c r="G242" s="1" t="s">
        <v>1</v>
      </c>
      <c r="H242" s="4">
        <v>6</v>
      </c>
      <c r="I242" s="5">
        <v>0.24406307827004359</v>
      </c>
      <c r="J242">
        <f>Table_3[[#This Row],[Price of One Product]]*Table_3[[#This Row],[No of Products in one Sale]]*(1-Table_3[[#This Row],[Discount]])</f>
        <v>294.81539947468298</v>
      </c>
      <c r="O242">
        <v>294.81539947468298</v>
      </c>
      <c r="P242">
        <v>0.24406307827004359</v>
      </c>
    </row>
    <row r="243" spans="1:16" ht="14.25" customHeight="1">
      <c r="A243" s="1" t="s">
        <v>328</v>
      </c>
      <c r="B243" s="1" t="s">
        <v>885</v>
      </c>
      <c r="C243" s="3">
        <v>44746</v>
      </c>
      <c r="D243" s="1" t="s">
        <v>899</v>
      </c>
      <c r="E243" s="1" t="s">
        <v>896</v>
      </c>
      <c r="F243" s="1">
        <v>250</v>
      </c>
      <c r="G243" s="1" t="s">
        <v>2</v>
      </c>
      <c r="H243" s="4">
        <v>2</v>
      </c>
      <c r="I243" s="5">
        <v>0.931057824254786</v>
      </c>
      <c r="J243">
        <f>Table_3[[#This Row],[Price of One Product]]*Table_3[[#This Row],[No of Products in one Sale]]*(1-Table_3[[#This Row],[Discount]])</f>
        <v>34.471087872607001</v>
      </c>
      <c r="O243">
        <v>34.471087872607001</v>
      </c>
      <c r="P243">
        <v>0.931057824254786</v>
      </c>
    </row>
    <row r="244" spans="1:16" ht="14.25" customHeight="1">
      <c r="A244" s="1" t="s">
        <v>329</v>
      </c>
      <c r="B244" s="1" t="s">
        <v>886</v>
      </c>
      <c r="C244" s="3">
        <v>44752</v>
      </c>
      <c r="D244" s="1" t="s">
        <v>900</v>
      </c>
      <c r="E244" s="1" t="s">
        <v>896</v>
      </c>
      <c r="F244" s="1">
        <v>130</v>
      </c>
      <c r="G244" s="1" t="s">
        <v>3</v>
      </c>
      <c r="H244" s="4">
        <v>4</v>
      </c>
      <c r="I244" s="5">
        <v>0.67570229189541975</v>
      </c>
      <c r="J244">
        <f>Table_3[[#This Row],[Price of One Product]]*Table_3[[#This Row],[No of Products in one Sale]]*(1-Table_3[[#This Row],[Discount]])</f>
        <v>168.63480821438174</v>
      </c>
      <c r="O244">
        <v>168.63480821438174</v>
      </c>
      <c r="P244">
        <v>0.67570229189541975</v>
      </c>
    </row>
    <row r="245" spans="1:16" ht="14.25" customHeight="1">
      <c r="A245" s="1" t="s">
        <v>330</v>
      </c>
      <c r="B245" s="1" t="s">
        <v>883</v>
      </c>
      <c r="C245" s="3">
        <v>44725</v>
      </c>
      <c r="D245" s="1" t="s">
        <v>895</v>
      </c>
      <c r="E245" s="1" t="s">
        <v>896</v>
      </c>
      <c r="F245" s="1">
        <v>72</v>
      </c>
      <c r="G245" s="1" t="s">
        <v>1</v>
      </c>
      <c r="H245" s="4">
        <v>7</v>
      </c>
      <c r="I245" s="5">
        <v>0.91192982577548221</v>
      </c>
      <c r="J245">
        <f>Table_3[[#This Row],[Price of One Product]]*Table_3[[#This Row],[No of Products in one Sale]]*(1-Table_3[[#This Row],[Discount]])</f>
        <v>44.38736780915697</v>
      </c>
      <c r="O245">
        <v>44.38736780915697</v>
      </c>
      <c r="P245">
        <v>0.91192982577548221</v>
      </c>
    </row>
    <row r="246" spans="1:16" ht="14.25" customHeight="1">
      <c r="A246" s="1" t="s">
        <v>331</v>
      </c>
      <c r="B246" s="1" t="s">
        <v>884</v>
      </c>
      <c r="C246" s="3">
        <v>44734</v>
      </c>
      <c r="D246" s="1" t="s">
        <v>897</v>
      </c>
      <c r="E246" s="1" t="s">
        <v>898</v>
      </c>
      <c r="F246" s="1">
        <v>65</v>
      </c>
      <c r="G246" s="1" t="s">
        <v>2</v>
      </c>
      <c r="H246" s="4">
        <v>13</v>
      </c>
      <c r="I246" s="5">
        <v>0.46313611506175134</v>
      </c>
      <c r="J246">
        <f>Table_3[[#This Row],[Price of One Product]]*Table_3[[#This Row],[No of Products in one Sale]]*(1-Table_3[[#This Row],[Discount]])</f>
        <v>453.64998277282012</v>
      </c>
      <c r="O246">
        <v>453.64998277282012</v>
      </c>
      <c r="P246">
        <v>0.46313611506175134</v>
      </c>
    </row>
    <row r="247" spans="1:16" ht="14.25" customHeight="1">
      <c r="A247" s="1" t="s">
        <v>332</v>
      </c>
      <c r="B247" s="1" t="s">
        <v>885</v>
      </c>
      <c r="C247" s="3">
        <v>44761</v>
      </c>
      <c r="D247" s="1" t="s">
        <v>899</v>
      </c>
      <c r="E247" s="1" t="s">
        <v>898</v>
      </c>
      <c r="F247" s="1">
        <v>250</v>
      </c>
      <c r="G247" s="1" t="s">
        <v>3</v>
      </c>
      <c r="H247" s="4">
        <v>1</v>
      </c>
      <c r="I247" s="5">
        <v>5.3530222562513607E-2</v>
      </c>
      <c r="J247">
        <f>Table_3[[#This Row],[Price of One Product]]*Table_3[[#This Row],[No of Products in one Sale]]*(1-Table_3[[#This Row],[Discount]])</f>
        <v>236.6174443593716</v>
      </c>
      <c r="O247">
        <v>236.6174443593716</v>
      </c>
      <c r="P247">
        <v>5.3530222562513607E-2</v>
      </c>
    </row>
    <row r="248" spans="1:16" ht="14.25" customHeight="1">
      <c r="A248" s="1" t="s">
        <v>333</v>
      </c>
      <c r="B248" s="1" t="s">
        <v>886</v>
      </c>
      <c r="C248" s="3">
        <v>44735</v>
      </c>
      <c r="D248" s="1" t="s">
        <v>900</v>
      </c>
      <c r="E248" s="1" t="s">
        <v>898</v>
      </c>
      <c r="F248" s="1">
        <v>130</v>
      </c>
      <c r="G248" s="1" t="s">
        <v>1</v>
      </c>
      <c r="H248" s="4">
        <v>2</v>
      </c>
      <c r="I248" s="5">
        <v>0.10135414856508229</v>
      </c>
      <c r="J248">
        <f>Table_3[[#This Row],[Price of One Product]]*Table_3[[#This Row],[No of Products in one Sale]]*(1-Table_3[[#This Row],[Discount]])</f>
        <v>233.64792137307862</v>
      </c>
      <c r="O248">
        <v>233.64792137307862</v>
      </c>
      <c r="P248">
        <v>0.10135414856508229</v>
      </c>
    </row>
    <row r="249" spans="1:16" ht="14.25" customHeight="1">
      <c r="A249" s="1" t="s">
        <v>334</v>
      </c>
      <c r="B249" s="1" t="s">
        <v>887</v>
      </c>
      <c r="C249" s="3">
        <v>44753</v>
      </c>
      <c r="D249" s="1" t="s">
        <v>901</v>
      </c>
      <c r="E249" s="1" t="s">
        <v>898</v>
      </c>
      <c r="F249" s="1">
        <v>60</v>
      </c>
      <c r="G249" s="1" t="s">
        <v>2</v>
      </c>
      <c r="H249" s="4">
        <v>10</v>
      </c>
      <c r="I249" s="5">
        <v>0.15413196820236597</v>
      </c>
      <c r="J249">
        <f>Table_3[[#This Row],[Price of One Product]]*Table_3[[#This Row],[No of Products in one Sale]]*(1-Table_3[[#This Row],[Discount]])</f>
        <v>507.52081907858042</v>
      </c>
      <c r="O249">
        <v>507.52081907858042</v>
      </c>
      <c r="P249">
        <v>0.15413196820236597</v>
      </c>
    </row>
    <row r="250" spans="1:16" ht="14.25" customHeight="1">
      <c r="A250" s="1" t="s">
        <v>335</v>
      </c>
      <c r="B250" s="1" t="s">
        <v>888</v>
      </c>
      <c r="C250" s="3">
        <v>44732</v>
      </c>
      <c r="D250" s="1" t="s">
        <v>902</v>
      </c>
      <c r="E250" s="1" t="s">
        <v>898</v>
      </c>
      <c r="F250" s="1">
        <v>95</v>
      </c>
      <c r="G250" s="1" t="s">
        <v>3</v>
      </c>
      <c r="H250" s="4">
        <v>4</v>
      </c>
      <c r="I250" s="5">
        <v>0.99147229272651061</v>
      </c>
      <c r="J250">
        <f>Table_3[[#This Row],[Price of One Product]]*Table_3[[#This Row],[No of Products in one Sale]]*(1-Table_3[[#This Row],[Discount]])</f>
        <v>3.2405287639259694</v>
      </c>
      <c r="O250">
        <v>3.2405287639259694</v>
      </c>
      <c r="P250">
        <v>0.99147229272651061</v>
      </c>
    </row>
    <row r="251" spans="1:16" ht="14.25" customHeight="1">
      <c r="A251" s="1" t="s">
        <v>336</v>
      </c>
      <c r="B251" s="1" t="s">
        <v>883</v>
      </c>
      <c r="C251" s="3">
        <v>44748</v>
      </c>
      <c r="D251" s="1" t="s">
        <v>895</v>
      </c>
      <c r="E251" s="1" t="s">
        <v>898</v>
      </c>
      <c r="F251" s="1">
        <v>72</v>
      </c>
      <c r="G251" s="1" t="s">
        <v>1</v>
      </c>
      <c r="H251" s="4">
        <v>4</v>
      </c>
      <c r="I251" s="5">
        <v>0.26792541838229555</v>
      </c>
      <c r="J251">
        <f>Table_3[[#This Row],[Price of One Product]]*Table_3[[#This Row],[No of Products in one Sale]]*(1-Table_3[[#This Row],[Discount]])</f>
        <v>210.83747950589887</v>
      </c>
      <c r="O251">
        <v>210.83747950589887</v>
      </c>
      <c r="P251">
        <v>0.26792541838229555</v>
      </c>
    </row>
    <row r="252" spans="1:16" ht="14.25" customHeight="1">
      <c r="A252" s="1" t="s">
        <v>337</v>
      </c>
      <c r="B252" s="1" t="s">
        <v>884</v>
      </c>
      <c r="C252" s="3">
        <v>44731</v>
      </c>
      <c r="D252" s="1" t="s">
        <v>897</v>
      </c>
      <c r="E252" s="1" t="s">
        <v>898</v>
      </c>
      <c r="F252" s="1">
        <v>65</v>
      </c>
      <c r="G252" s="1" t="s">
        <v>2</v>
      </c>
      <c r="H252" s="4">
        <v>7</v>
      </c>
      <c r="I252" s="5">
        <v>0.67400237007588726</v>
      </c>
      <c r="J252">
        <f>Table_3[[#This Row],[Price of One Product]]*Table_3[[#This Row],[No of Products in one Sale]]*(1-Table_3[[#This Row],[Discount]])</f>
        <v>148.3289216154713</v>
      </c>
      <c r="O252">
        <v>148.3289216154713</v>
      </c>
      <c r="P252">
        <v>0.67400237007588726</v>
      </c>
    </row>
    <row r="253" spans="1:16" ht="14.25" customHeight="1">
      <c r="A253" s="1" t="s">
        <v>338</v>
      </c>
      <c r="B253" s="1" t="s">
        <v>885</v>
      </c>
      <c r="C253" s="3">
        <v>44725</v>
      </c>
      <c r="D253" s="1" t="s">
        <v>899</v>
      </c>
      <c r="E253" s="1" t="s">
        <v>896</v>
      </c>
      <c r="F253" s="1">
        <v>250</v>
      </c>
      <c r="G253" s="1" t="s">
        <v>3</v>
      </c>
      <c r="H253" s="4">
        <v>2</v>
      </c>
      <c r="I253" s="5">
        <v>0.10779012567415547</v>
      </c>
      <c r="J253">
        <f>Table_3[[#This Row],[Price of One Product]]*Table_3[[#This Row],[No of Products in one Sale]]*(1-Table_3[[#This Row],[Discount]])</f>
        <v>446.10493716292228</v>
      </c>
      <c r="O253">
        <v>446.10493716292228</v>
      </c>
      <c r="P253">
        <v>0.10779012567415547</v>
      </c>
    </row>
    <row r="254" spans="1:16" ht="14.25" customHeight="1">
      <c r="A254" s="1" t="s">
        <v>339</v>
      </c>
      <c r="B254" s="1" t="s">
        <v>886</v>
      </c>
      <c r="C254" s="3">
        <v>44753</v>
      </c>
      <c r="D254" s="1" t="s">
        <v>900</v>
      </c>
      <c r="E254" s="1" t="s">
        <v>896</v>
      </c>
      <c r="F254" s="1">
        <v>130</v>
      </c>
      <c r="G254" s="1" t="s">
        <v>1</v>
      </c>
      <c r="H254" s="4">
        <v>4</v>
      </c>
      <c r="I254" s="5">
        <v>6.5825812137458972E-2</v>
      </c>
      <c r="J254">
        <f>Table_3[[#This Row],[Price of One Product]]*Table_3[[#This Row],[No of Products in one Sale]]*(1-Table_3[[#This Row],[Discount]])</f>
        <v>485.77057768852131</v>
      </c>
      <c r="O254">
        <v>485.77057768852131</v>
      </c>
      <c r="P254">
        <v>6.5825812137458972E-2</v>
      </c>
    </row>
    <row r="255" spans="1:16" ht="14.25" customHeight="1">
      <c r="A255" s="1" t="s">
        <v>340</v>
      </c>
      <c r="B255" s="1" t="s">
        <v>883</v>
      </c>
      <c r="C255" s="3">
        <v>44738</v>
      </c>
      <c r="D255" s="1" t="s">
        <v>895</v>
      </c>
      <c r="E255" s="1" t="s">
        <v>896</v>
      </c>
      <c r="F255" s="1">
        <v>72</v>
      </c>
      <c r="G255" s="1" t="s">
        <v>2</v>
      </c>
      <c r="H255" s="4">
        <v>11</v>
      </c>
      <c r="I255" s="5">
        <v>0.36167362480508147</v>
      </c>
      <c r="J255">
        <f>Table_3[[#This Row],[Price of One Product]]*Table_3[[#This Row],[No of Products in one Sale]]*(1-Table_3[[#This Row],[Discount]])</f>
        <v>505.55448915437546</v>
      </c>
      <c r="O255">
        <v>505.55448915437546</v>
      </c>
      <c r="P255">
        <v>0.36167362480508147</v>
      </c>
    </row>
    <row r="256" spans="1:16" ht="14.25" customHeight="1">
      <c r="A256" s="1" t="s">
        <v>341</v>
      </c>
      <c r="B256" s="1" t="s">
        <v>884</v>
      </c>
      <c r="C256" s="3">
        <v>44762</v>
      </c>
      <c r="D256" s="1" t="s">
        <v>897</v>
      </c>
      <c r="E256" s="1" t="s">
        <v>898</v>
      </c>
      <c r="F256" s="1">
        <v>65</v>
      </c>
      <c r="G256" s="1" t="s">
        <v>3</v>
      </c>
      <c r="H256" s="4">
        <v>9</v>
      </c>
      <c r="I256" s="5">
        <v>0.15611277710708626</v>
      </c>
      <c r="J256">
        <f>Table_3[[#This Row],[Price of One Product]]*Table_3[[#This Row],[No of Products in one Sale]]*(1-Table_3[[#This Row],[Discount]])</f>
        <v>493.67402539235451</v>
      </c>
      <c r="O256">
        <v>493.67402539235451</v>
      </c>
      <c r="P256">
        <v>0.15611277710708626</v>
      </c>
    </row>
    <row r="257" spans="1:16" ht="14.25" customHeight="1">
      <c r="A257" s="1" t="s">
        <v>342</v>
      </c>
      <c r="B257" s="1" t="s">
        <v>885</v>
      </c>
      <c r="C257" s="3">
        <v>44756</v>
      </c>
      <c r="D257" s="1" t="s">
        <v>899</v>
      </c>
      <c r="E257" s="1" t="s">
        <v>898</v>
      </c>
      <c r="F257" s="1">
        <v>250</v>
      </c>
      <c r="G257" s="1" t="s">
        <v>1</v>
      </c>
      <c r="H257" s="4">
        <v>2</v>
      </c>
      <c r="I257" s="5">
        <v>0.11892962947938523</v>
      </c>
      <c r="J257">
        <f>Table_3[[#This Row],[Price of One Product]]*Table_3[[#This Row],[No of Products in one Sale]]*(1-Table_3[[#This Row],[Discount]])</f>
        <v>440.5351852603074</v>
      </c>
      <c r="O257">
        <v>440.5351852603074</v>
      </c>
      <c r="P257">
        <v>0.11892962947938523</v>
      </c>
    </row>
    <row r="258" spans="1:16" ht="14.25" customHeight="1">
      <c r="A258" s="1" t="s">
        <v>343</v>
      </c>
      <c r="B258" s="1" t="s">
        <v>886</v>
      </c>
      <c r="C258" s="3">
        <v>44744</v>
      </c>
      <c r="D258" s="1" t="s">
        <v>900</v>
      </c>
      <c r="E258" s="1" t="s">
        <v>898</v>
      </c>
      <c r="F258" s="1">
        <v>130</v>
      </c>
      <c r="G258" s="1" t="s">
        <v>2</v>
      </c>
      <c r="H258" s="4">
        <v>5</v>
      </c>
      <c r="I258" s="5">
        <v>0.94178498482348294</v>
      </c>
      <c r="J258">
        <f>Table_3[[#This Row],[Price of One Product]]*Table_3[[#This Row],[No of Products in one Sale]]*(1-Table_3[[#This Row],[Discount]])</f>
        <v>37.839759864736088</v>
      </c>
      <c r="O258">
        <v>37.839759864736088</v>
      </c>
      <c r="P258">
        <v>0.94178498482348294</v>
      </c>
    </row>
    <row r="259" spans="1:16" ht="14.25" customHeight="1">
      <c r="A259" s="1" t="s">
        <v>344</v>
      </c>
      <c r="B259" s="1" t="s">
        <v>887</v>
      </c>
      <c r="C259" s="3">
        <v>44753</v>
      </c>
      <c r="D259" s="1" t="s">
        <v>901</v>
      </c>
      <c r="E259" s="1" t="s">
        <v>898</v>
      </c>
      <c r="F259" s="1">
        <v>60</v>
      </c>
      <c r="G259" s="1" t="s">
        <v>3</v>
      </c>
      <c r="H259" s="4">
        <v>5</v>
      </c>
      <c r="I259" s="5">
        <v>0.82224390590219021</v>
      </c>
      <c r="J259">
        <f>Table_3[[#This Row],[Price of One Product]]*Table_3[[#This Row],[No of Products in one Sale]]*(1-Table_3[[#This Row],[Discount]])</f>
        <v>53.326828229342937</v>
      </c>
      <c r="O259">
        <v>53.326828229342937</v>
      </c>
      <c r="P259">
        <v>0.82224390590219021</v>
      </c>
    </row>
    <row r="260" spans="1:16" ht="14.25" customHeight="1">
      <c r="A260" s="1" t="s">
        <v>345</v>
      </c>
      <c r="B260" s="1" t="s">
        <v>883</v>
      </c>
      <c r="C260" s="3">
        <v>44762</v>
      </c>
      <c r="D260" s="1" t="s">
        <v>895</v>
      </c>
      <c r="E260" s="1" t="s">
        <v>898</v>
      </c>
      <c r="F260" s="1">
        <v>72</v>
      </c>
      <c r="G260" s="1" t="s">
        <v>1</v>
      </c>
      <c r="H260" s="4">
        <v>10</v>
      </c>
      <c r="I260" s="5">
        <v>1.5473035826796155E-2</v>
      </c>
      <c r="J260">
        <f>Table_3[[#This Row],[Price of One Product]]*Table_3[[#This Row],[No of Products in one Sale]]*(1-Table_3[[#This Row],[Discount]])</f>
        <v>708.85941420470681</v>
      </c>
      <c r="O260">
        <v>708.85941420470681</v>
      </c>
      <c r="P260">
        <v>1.5473035826796155E-2</v>
      </c>
    </row>
    <row r="261" spans="1:16" ht="14.25" customHeight="1">
      <c r="A261" s="1" t="s">
        <v>346</v>
      </c>
      <c r="B261" s="1" t="s">
        <v>884</v>
      </c>
      <c r="C261" s="3">
        <v>44740</v>
      </c>
      <c r="D261" s="1" t="s">
        <v>897</v>
      </c>
      <c r="E261" s="1" t="s">
        <v>898</v>
      </c>
      <c r="F261" s="1">
        <v>65</v>
      </c>
      <c r="G261" s="1" t="s">
        <v>2</v>
      </c>
      <c r="H261" s="4">
        <v>3</v>
      </c>
      <c r="I261" s="5">
        <v>0.57002189482885535</v>
      </c>
      <c r="J261">
        <f>Table_3[[#This Row],[Price of One Product]]*Table_3[[#This Row],[No of Products in one Sale]]*(1-Table_3[[#This Row],[Discount]])</f>
        <v>83.845730508373208</v>
      </c>
      <c r="O261">
        <v>83.845730508373208</v>
      </c>
      <c r="P261">
        <v>0.57002189482885535</v>
      </c>
    </row>
    <row r="262" spans="1:16" ht="14.25" customHeight="1">
      <c r="A262" s="1" t="s">
        <v>347</v>
      </c>
      <c r="B262" s="1" t="s">
        <v>885</v>
      </c>
      <c r="C262" s="3">
        <v>44729</v>
      </c>
      <c r="D262" s="1" t="s">
        <v>899</v>
      </c>
      <c r="E262" s="1" t="s">
        <v>896</v>
      </c>
      <c r="F262" s="1">
        <v>250</v>
      </c>
      <c r="G262" s="1" t="s">
        <v>3</v>
      </c>
      <c r="H262" s="4">
        <v>3</v>
      </c>
      <c r="I262" s="5">
        <v>0.22169123462523532</v>
      </c>
      <c r="J262">
        <f>Table_3[[#This Row],[Price of One Product]]*Table_3[[#This Row],[No of Products in one Sale]]*(1-Table_3[[#This Row],[Discount]])</f>
        <v>583.73157403107348</v>
      </c>
      <c r="O262">
        <v>583.73157403107348</v>
      </c>
      <c r="P262">
        <v>0.22169123462523532</v>
      </c>
    </row>
    <row r="263" spans="1:16" ht="14.25" customHeight="1">
      <c r="A263" s="1" t="s">
        <v>348</v>
      </c>
      <c r="B263" s="1" t="s">
        <v>886</v>
      </c>
      <c r="C263" s="3">
        <v>44727</v>
      </c>
      <c r="D263" s="1" t="s">
        <v>900</v>
      </c>
      <c r="E263" s="1" t="s">
        <v>898</v>
      </c>
      <c r="F263" s="1">
        <v>130</v>
      </c>
      <c r="G263" s="1" t="s">
        <v>1</v>
      </c>
      <c r="H263" s="4">
        <v>6</v>
      </c>
      <c r="I263" s="5">
        <v>0.16327712663351335</v>
      </c>
      <c r="J263">
        <f>Table_3[[#This Row],[Price of One Product]]*Table_3[[#This Row],[No of Products in one Sale]]*(1-Table_3[[#This Row],[Discount]])</f>
        <v>652.64384122585955</v>
      </c>
      <c r="O263">
        <v>652.64384122585955</v>
      </c>
      <c r="P263">
        <v>0.16327712663351335</v>
      </c>
    </row>
    <row r="264" spans="1:16" ht="14.25" customHeight="1">
      <c r="A264" s="1" t="s">
        <v>349</v>
      </c>
      <c r="B264" s="1" t="s">
        <v>883</v>
      </c>
      <c r="C264" s="3">
        <v>44734</v>
      </c>
      <c r="D264" s="1" t="s">
        <v>895</v>
      </c>
      <c r="E264" s="1" t="s">
        <v>896</v>
      </c>
      <c r="F264" s="1">
        <v>72</v>
      </c>
      <c r="G264" s="1" t="s">
        <v>2</v>
      </c>
      <c r="H264" s="4">
        <v>9</v>
      </c>
      <c r="I264" s="5">
        <v>0.71431849239690393</v>
      </c>
      <c r="J264">
        <f>Table_3[[#This Row],[Price of One Product]]*Table_3[[#This Row],[No of Products in one Sale]]*(1-Table_3[[#This Row],[Discount]])</f>
        <v>185.12161692680627</v>
      </c>
      <c r="O264">
        <v>185.12161692680627</v>
      </c>
      <c r="P264">
        <v>0.71431849239690393</v>
      </c>
    </row>
    <row r="265" spans="1:16" ht="14.25" customHeight="1">
      <c r="A265" s="1" t="s">
        <v>350</v>
      </c>
      <c r="B265" s="1" t="s">
        <v>884</v>
      </c>
      <c r="C265" s="3">
        <v>44744</v>
      </c>
      <c r="D265" s="1" t="s">
        <v>897</v>
      </c>
      <c r="E265" s="1" t="s">
        <v>898</v>
      </c>
      <c r="F265" s="1">
        <v>65</v>
      </c>
      <c r="G265" s="1" t="s">
        <v>3</v>
      </c>
      <c r="H265" s="4">
        <v>7</v>
      </c>
      <c r="I265" s="5">
        <v>0.58151491016386692</v>
      </c>
      <c r="J265">
        <f>Table_3[[#This Row],[Price of One Product]]*Table_3[[#This Row],[No of Products in one Sale]]*(1-Table_3[[#This Row],[Discount]])</f>
        <v>190.41071587544056</v>
      </c>
      <c r="O265">
        <v>190.41071587544056</v>
      </c>
      <c r="P265">
        <v>0.58151491016386692</v>
      </c>
    </row>
    <row r="266" spans="1:16" ht="14.25" customHeight="1">
      <c r="A266" s="1" t="s">
        <v>351</v>
      </c>
      <c r="B266" s="1" t="s">
        <v>885</v>
      </c>
      <c r="C266" s="3">
        <v>44737</v>
      </c>
      <c r="D266" s="1" t="s">
        <v>899</v>
      </c>
      <c r="E266" s="1" t="s">
        <v>896</v>
      </c>
      <c r="F266" s="1">
        <v>250</v>
      </c>
      <c r="G266" s="1" t="s">
        <v>1</v>
      </c>
      <c r="H266" s="4">
        <v>1</v>
      </c>
      <c r="I266" s="5">
        <v>0.94025500085845537</v>
      </c>
      <c r="J266">
        <f>Table_3[[#This Row],[Price of One Product]]*Table_3[[#This Row],[No of Products in one Sale]]*(1-Table_3[[#This Row],[Discount]])</f>
        <v>14.936249785386158</v>
      </c>
      <c r="O266">
        <v>14.936249785386158</v>
      </c>
      <c r="P266">
        <v>0.94025500085845537</v>
      </c>
    </row>
    <row r="267" spans="1:16" ht="14.25" customHeight="1">
      <c r="A267" s="1" t="s">
        <v>352</v>
      </c>
      <c r="B267" s="1" t="s">
        <v>886</v>
      </c>
      <c r="C267" s="3">
        <v>44752</v>
      </c>
      <c r="D267" s="1" t="s">
        <v>900</v>
      </c>
      <c r="E267" s="1" t="s">
        <v>898</v>
      </c>
      <c r="F267" s="1">
        <v>130</v>
      </c>
      <c r="G267" s="1" t="s">
        <v>2</v>
      </c>
      <c r="H267" s="4">
        <v>3</v>
      </c>
      <c r="I267" s="5">
        <v>0.85696007733376245</v>
      </c>
      <c r="J267">
        <f>Table_3[[#This Row],[Price of One Product]]*Table_3[[#This Row],[No of Products in one Sale]]*(1-Table_3[[#This Row],[Discount]])</f>
        <v>55.785569839832647</v>
      </c>
      <c r="O267">
        <v>55.785569839832647</v>
      </c>
      <c r="P267">
        <v>0.85696007733376245</v>
      </c>
    </row>
    <row r="268" spans="1:16" ht="14.25" customHeight="1">
      <c r="A268" s="1" t="s">
        <v>353</v>
      </c>
      <c r="B268" s="1" t="s">
        <v>887</v>
      </c>
      <c r="C268" s="3">
        <v>44736</v>
      </c>
      <c r="D268" s="1" t="s">
        <v>901</v>
      </c>
      <c r="E268" s="1" t="s">
        <v>896</v>
      </c>
      <c r="F268" s="1">
        <v>60</v>
      </c>
      <c r="G268" s="1" t="s">
        <v>3</v>
      </c>
      <c r="H268" s="4">
        <v>6</v>
      </c>
      <c r="I268" s="5">
        <v>0.73704670632037661</v>
      </c>
      <c r="J268">
        <f>Table_3[[#This Row],[Price of One Product]]*Table_3[[#This Row],[No of Products in one Sale]]*(1-Table_3[[#This Row],[Discount]])</f>
        <v>94.663185724664416</v>
      </c>
      <c r="O268">
        <v>94.663185724664416</v>
      </c>
      <c r="P268">
        <v>0.73704670632037661</v>
      </c>
    </row>
    <row r="269" spans="1:16" ht="14.25" customHeight="1">
      <c r="A269" s="1" t="s">
        <v>354</v>
      </c>
      <c r="B269" s="1" t="s">
        <v>888</v>
      </c>
      <c r="C269" s="3">
        <v>44752</v>
      </c>
      <c r="D269" s="1" t="s">
        <v>902</v>
      </c>
      <c r="E269" s="1" t="s">
        <v>898</v>
      </c>
      <c r="F269" s="1">
        <v>95</v>
      </c>
      <c r="G269" s="1" t="s">
        <v>1</v>
      </c>
      <c r="H269" s="4">
        <v>5</v>
      </c>
      <c r="I269" s="5">
        <v>0.99556674564351355</v>
      </c>
      <c r="J269">
        <f>Table_3[[#This Row],[Price of One Product]]*Table_3[[#This Row],[No of Products in one Sale]]*(1-Table_3[[#This Row],[Discount]])</f>
        <v>2.1057958193310631</v>
      </c>
      <c r="O269">
        <v>2.1057958193310631</v>
      </c>
      <c r="P269">
        <v>0.99556674564351355</v>
      </c>
    </row>
    <row r="270" spans="1:16" ht="14.25" customHeight="1">
      <c r="A270" s="1" t="s">
        <v>355</v>
      </c>
      <c r="B270" s="1" t="s">
        <v>883</v>
      </c>
      <c r="C270" s="3">
        <v>44759</v>
      </c>
      <c r="D270" s="1" t="s">
        <v>895</v>
      </c>
      <c r="E270" s="1" t="s">
        <v>896</v>
      </c>
      <c r="F270" s="1">
        <v>72</v>
      </c>
      <c r="G270" s="1" t="s">
        <v>2</v>
      </c>
      <c r="H270" s="4">
        <v>8</v>
      </c>
      <c r="I270" s="5">
        <v>0.82336237784945987</v>
      </c>
      <c r="J270">
        <f>Table_3[[#This Row],[Price of One Product]]*Table_3[[#This Row],[No of Products in one Sale]]*(1-Table_3[[#This Row],[Discount]])</f>
        <v>101.74327035871111</v>
      </c>
      <c r="O270">
        <v>101.74327035871111</v>
      </c>
      <c r="P270">
        <v>0.82336237784945987</v>
      </c>
    </row>
    <row r="271" spans="1:16" ht="14.25" customHeight="1">
      <c r="A271" s="1" t="s">
        <v>356</v>
      </c>
      <c r="B271" s="1" t="s">
        <v>884</v>
      </c>
      <c r="C271" s="3">
        <v>44763</v>
      </c>
      <c r="D271" s="1" t="s">
        <v>897</v>
      </c>
      <c r="E271" s="1" t="s">
        <v>898</v>
      </c>
      <c r="F271" s="1">
        <v>65</v>
      </c>
      <c r="G271" s="1" t="s">
        <v>3</v>
      </c>
      <c r="H271" s="4">
        <v>13</v>
      </c>
      <c r="I271" s="5">
        <v>0.21429857063805535</v>
      </c>
      <c r="J271">
        <f>Table_3[[#This Row],[Price of One Product]]*Table_3[[#This Row],[No of Products in one Sale]]*(1-Table_3[[#This Row],[Discount]])</f>
        <v>663.91770781084324</v>
      </c>
      <c r="O271">
        <v>663.91770781084324</v>
      </c>
      <c r="P271">
        <v>0.21429857063805535</v>
      </c>
    </row>
    <row r="272" spans="1:16" ht="14.25" customHeight="1">
      <c r="A272" s="1" t="s">
        <v>357</v>
      </c>
      <c r="B272" s="1" t="s">
        <v>885</v>
      </c>
      <c r="C272" s="3">
        <v>44763</v>
      </c>
      <c r="D272" s="1" t="s">
        <v>899</v>
      </c>
      <c r="E272" s="1" t="s">
        <v>896</v>
      </c>
      <c r="F272" s="1">
        <v>250</v>
      </c>
      <c r="G272" s="1" t="s">
        <v>1</v>
      </c>
      <c r="H272" s="4">
        <v>2</v>
      </c>
      <c r="I272" s="5">
        <v>0.9858246368711242</v>
      </c>
      <c r="J272">
        <f>Table_3[[#This Row],[Price of One Product]]*Table_3[[#This Row],[No of Products in one Sale]]*(1-Table_3[[#This Row],[Discount]])</f>
        <v>7.0876815644378972</v>
      </c>
      <c r="O272">
        <v>7.0876815644378972</v>
      </c>
      <c r="P272">
        <v>0.9858246368711242</v>
      </c>
    </row>
    <row r="273" spans="1:16" ht="14.25" customHeight="1">
      <c r="A273" s="1" t="s">
        <v>358</v>
      </c>
      <c r="B273" s="1" t="s">
        <v>886</v>
      </c>
      <c r="C273" s="3">
        <v>44750</v>
      </c>
      <c r="D273" s="1" t="s">
        <v>900</v>
      </c>
      <c r="E273" s="1" t="s">
        <v>898</v>
      </c>
      <c r="F273" s="1">
        <v>130</v>
      </c>
      <c r="G273" s="1" t="s">
        <v>2</v>
      </c>
      <c r="H273" s="4">
        <v>6</v>
      </c>
      <c r="I273" s="5">
        <v>2.0787857004193944E-2</v>
      </c>
      <c r="J273">
        <f>Table_3[[#This Row],[Price of One Product]]*Table_3[[#This Row],[No of Products in one Sale]]*(1-Table_3[[#This Row],[Discount]])</f>
        <v>763.78547153672878</v>
      </c>
      <c r="O273">
        <v>763.78547153672878</v>
      </c>
      <c r="P273">
        <v>2.0787857004193944E-2</v>
      </c>
    </row>
    <row r="274" spans="1:16" ht="14.25" customHeight="1">
      <c r="A274" s="1" t="s">
        <v>359</v>
      </c>
      <c r="B274" s="1" t="s">
        <v>883</v>
      </c>
      <c r="C274" s="3">
        <v>44751</v>
      </c>
      <c r="D274" s="1" t="s">
        <v>895</v>
      </c>
      <c r="E274" s="1" t="s">
        <v>896</v>
      </c>
      <c r="F274" s="1">
        <v>72</v>
      </c>
      <c r="G274" s="1" t="s">
        <v>3</v>
      </c>
      <c r="H274" s="4">
        <v>8</v>
      </c>
      <c r="I274" s="5">
        <v>0.4043041551106823</v>
      </c>
      <c r="J274">
        <f>Table_3[[#This Row],[Price of One Product]]*Table_3[[#This Row],[No of Products in one Sale]]*(1-Table_3[[#This Row],[Discount]])</f>
        <v>343.120806656247</v>
      </c>
      <c r="O274">
        <v>343.120806656247</v>
      </c>
      <c r="P274">
        <v>0.4043041551106823</v>
      </c>
    </row>
    <row r="275" spans="1:16" ht="14.25" customHeight="1">
      <c r="A275" s="1" t="s">
        <v>360</v>
      </c>
      <c r="B275" s="1" t="s">
        <v>884</v>
      </c>
      <c r="C275" s="3">
        <v>44736</v>
      </c>
      <c r="D275" s="1" t="s">
        <v>897</v>
      </c>
      <c r="E275" s="1" t="s">
        <v>898</v>
      </c>
      <c r="F275" s="1">
        <v>65</v>
      </c>
      <c r="G275" s="1" t="s">
        <v>1</v>
      </c>
      <c r="H275" s="4">
        <v>6</v>
      </c>
      <c r="I275" s="5">
        <v>0.86228936216370378</v>
      </c>
      <c r="J275">
        <f>Table_3[[#This Row],[Price of One Product]]*Table_3[[#This Row],[No of Products in one Sale]]*(1-Table_3[[#This Row],[Discount]])</f>
        <v>53.707148756155526</v>
      </c>
      <c r="O275">
        <v>53.707148756155526</v>
      </c>
      <c r="P275">
        <v>0.86228936216370378</v>
      </c>
    </row>
    <row r="276" spans="1:16" ht="14.25" customHeight="1">
      <c r="A276" s="1" t="s">
        <v>361</v>
      </c>
      <c r="B276" s="1" t="s">
        <v>885</v>
      </c>
      <c r="C276" s="3">
        <v>44737</v>
      </c>
      <c r="D276" s="1" t="s">
        <v>899</v>
      </c>
      <c r="E276" s="1" t="s">
        <v>896</v>
      </c>
      <c r="F276" s="1">
        <v>250</v>
      </c>
      <c r="G276" s="1" t="s">
        <v>2</v>
      </c>
      <c r="H276" s="4">
        <v>3</v>
      </c>
      <c r="I276" s="5">
        <v>0.20267200262393703</v>
      </c>
      <c r="J276">
        <f>Table_3[[#This Row],[Price of One Product]]*Table_3[[#This Row],[No of Products in one Sale]]*(1-Table_3[[#This Row],[Discount]])</f>
        <v>597.99599803204728</v>
      </c>
      <c r="O276">
        <v>597.99599803204728</v>
      </c>
      <c r="P276">
        <v>0.20267200262393703</v>
      </c>
    </row>
    <row r="277" spans="1:16" ht="14.25" customHeight="1">
      <c r="A277" s="1" t="s">
        <v>362</v>
      </c>
      <c r="B277" s="1" t="s">
        <v>886</v>
      </c>
      <c r="C277" s="3">
        <v>44744</v>
      </c>
      <c r="D277" s="1" t="s">
        <v>895</v>
      </c>
      <c r="E277" s="1" t="s">
        <v>898</v>
      </c>
      <c r="F277" s="1">
        <v>72</v>
      </c>
      <c r="G277" s="1" t="s">
        <v>3</v>
      </c>
      <c r="H277" s="4">
        <v>6</v>
      </c>
      <c r="I277" s="5">
        <v>0.42721330596562979</v>
      </c>
      <c r="J277">
        <f>Table_3[[#This Row],[Price of One Product]]*Table_3[[#This Row],[No of Products in one Sale]]*(1-Table_3[[#This Row],[Discount]])</f>
        <v>247.44385182284793</v>
      </c>
      <c r="O277">
        <v>247.44385182284793</v>
      </c>
      <c r="P277">
        <v>0.42721330596562979</v>
      </c>
    </row>
    <row r="278" spans="1:16" ht="14.25" customHeight="1">
      <c r="A278" s="1" t="s">
        <v>363</v>
      </c>
      <c r="B278" s="1" t="s">
        <v>883</v>
      </c>
      <c r="C278" s="3">
        <v>44735</v>
      </c>
      <c r="D278" s="1" t="s">
        <v>897</v>
      </c>
      <c r="E278" s="1" t="s">
        <v>896</v>
      </c>
      <c r="F278" s="1">
        <v>65</v>
      </c>
      <c r="G278" s="1" t="s">
        <v>3</v>
      </c>
      <c r="H278" s="4">
        <v>13</v>
      </c>
      <c r="I278" s="5">
        <v>0.87108149970897442</v>
      </c>
      <c r="J278">
        <f>Table_3[[#This Row],[Price of One Product]]*Table_3[[#This Row],[No of Products in one Sale]]*(1-Table_3[[#This Row],[Discount]])</f>
        <v>108.93613274591662</v>
      </c>
      <c r="O278">
        <v>108.93613274591662</v>
      </c>
      <c r="P278">
        <v>0.87108149970897442</v>
      </c>
    </row>
    <row r="279" spans="1:16" ht="14.25" customHeight="1">
      <c r="A279" s="1" t="s">
        <v>364</v>
      </c>
      <c r="B279" s="1" t="s">
        <v>884</v>
      </c>
      <c r="C279" s="3">
        <v>44751</v>
      </c>
      <c r="D279" s="1" t="s">
        <v>899</v>
      </c>
      <c r="E279" s="1" t="s">
        <v>898</v>
      </c>
      <c r="F279" s="1">
        <v>250</v>
      </c>
      <c r="G279" s="1" t="s">
        <v>1</v>
      </c>
      <c r="H279" s="4">
        <v>1</v>
      </c>
      <c r="I279" s="5">
        <v>2.6358009716956676E-2</v>
      </c>
      <c r="J279">
        <f>Table_3[[#This Row],[Price of One Product]]*Table_3[[#This Row],[No of Products in one Sale]]*(1-Table_3[[#This Row],[Discount]])</f>
        <v>243.41049757076084</v>
      </c>
      <c r="O279">
        <v>243.41049757076084</v>
      </c>
      <c r="P279">
        <v>2.6358009716956676E-2</v>
      </c>
    </row>
    <row r="280" spans="1:16" ht="14.25" customHeight="1">
      <c r="A280" s="1" t="s">
        <v>365</v>
      </c>
      <c r="B280" s="1" t="s">
        <v>885</v>
      </c>
      <c r="C280" s="3">
        <v>44726</v>
      </c>
      <c r="D280" s="1" t="s">
        <v>900</v>
      </c>
      <c r="E280" s="1" t="s">
        <v>898</v>
      </c>
      <c r="F280" s="1">
        <v>130</v>
      </c>
      <c r="G280" s="1" t="s">
        <v>2</v>
      </c>
      <c r="H280" s="4">
        <v>3</v>
      </c>
      <c r="I280" s="5">
        <v>0.77767785740350603</v>
      </c>
      <c r="J280">
        <f>Table_3[[#This Row],[Price of One Product]]*Table_3[[#This Row],[No of Products in one Sale]]*(1-Table_3[[#This Row],[Discount]])</f>
        <v>86.705635612632648</v>
      </c>
      <c r="O280">
        <v>86.705635612632648</v>
      </c>
      <c r="P280">
        <v>0.77767785740350603</v>
      </c>
    </row>
    <row r="281" spans="1:16" ht="14.25" customHeight="1">
      <c r="A281" s="1" t="s">
        <v>366</v>
      </c>
      <c r="B281" s="1" t="s">
        <v>886</v>
      </c>
      <c r="C281" s="3">
        <v>44749</v>
      </c>
      <c r="D281" s="1" t="s">
        <v>895</v>
      </c>
      <c r="E281" s="1" t="s">
        <v>898</v>
      </c>
      <c r="F281" s="1">
        <v>72</v>
      </c>
      <c r="G281" s="1" t="s">
        <v>3</v>
      </c>
      <c r="H281" s="4">
        <v>3</v>
      </c>
      <c r="I281" s="5">
        <v>0.68682565144107521</v>
      </c>
      <c r="J281">
        <f>Table_3[[#This Row],[Price of One Product]]*Table_3[[#This Row],[No of Products in one Sale]]*(1-Table_3[[#This Row],[Discount]])</f>
        <v>67.645659288727757</v>
      </c>
      <c r="O281">
        <v>67.645659288727757</v>
      </c>
      <c r="P281">
        <v>0.68682565144107521</v>
      </c>
    </row>
    <row r="282" spans="1:16" ht="14.25" customHeight="1">
      <c r="A282" s="1" t="s">
        <v>367</v>
      </c>
      <c r="B282" s="1" t="s">
        <v>883</v>
      </c>
      <c r="C282" s="3">
        <v>44734</v>
      </c>
      <c r="D282" s="1" t="s">
        <v>897</v>
      </c>
      <c r="E282" s="1" t="s">
        <v>898</v>
      </c>
      <c r="F282" s="1">
        <v>65</v>
      </c>
      <c r="G282" s="1" t="s">
        <v>1</v>
      </c>
      <c r="H282" s="4">
        <v>14</v>
      </c>
      <c r="I282" s="5">
        <v>0.58269109940879071</v>
      </c>
      <c r="J282">
        <f>Table_3[[#This Row],[Price of One Product]]*Table_3[[#This Row],[No of Products in one Sale]]*(1-Table_3[[#This Row],[Discount]])</f>
        <v>379.75109953800046</v>
      </c>
      <c r="O282">
        <v>379.75109953800046</v>
      </c>
      <c r="P282">
        <v>0.58269109940879071</v>
      </c>
    </row>
    <row r="283" spans="1:16" ht="14.25" customHeight="1">
      <c r="A283" s="1" t="s">
        <v>368</v>
      </c>
      <c r="B283" s="1" t="s">
        <v>884</v>
      </c>
      <c r="C283" s="3">
        <v>44726</v>
      </c>
      <c r="D283" s="1" t="s">
        <v>899</v>
      </c>
      <c r="E283" s="1" t="s">
        <v>898</v>
      </c>
      <c r="F283" s="1">
        <v>250</v>
      </c>
      <c r="G283" s="1" t="s">
        <v>2</v>
      </c>
      <c r="H283" s="4">
        <v>3</v>
      </c>
      <c r="I283" s="5">
        <v>0.44339908275720785</v>
      </c>
      <c r="J283">
        <f>Table_3[[#This Row],[Price of One Product]]*Table_3[[#This Row],[No of Products in one Sale]]*(1-Table_3[[#This Row],[Discount]])</f>
        <v>417.45068793209413</v>
      </c>
      <c r="O283">
        <v>417.45068793209413</v>
      </c>
      <c r="P283">
        <v>0.44339908275720785</v>
      </c>
    </row>
    <row r="284" spans="1:16" ht="14.25" customHeight="1">
      <c r="A284" s="1" t="s">
        <v>369</v>
      </c>
      <c r="B284" s="1" t="s">
        <v>885</v>
      </c>
      <c r="C284" s="3">
        <v>44743</v>
      </c>
      <c r="D284" s="1" t="s">
        <v>900</v>
      </c>
      <c r="E284" s="1" t="s">
        <v>896</v>
      </c>
      <c r="F284" s="1">
        <v>130</v>
      </c>
      <c r="G284" s="1" t="s">
        <v>3</v>
      </c>
      <c r="H284" s="4">
        <v>3</v>
      </c>
      <c r="I284" s="5">
        <v>0.12575036810320794</v>
      </c>
      <c r="J284">
        <f>Table_3[[#This Row],[Price of One Product]]*Table_3[[#This Row],[No of Products in one Sale]]*(1-Table_3[[#This Row],[Discount]])</f>
        <v>340.95735643974888</v>
      </c>
      <c r="O284">
        <v>340.95735643974888</v>
      </c>
      <c r="P284">
        <v>0.12575036810320794</v>
      </c>
    </row>
    <row r="285" spans="1:16" ht="14.25" customHeight="1">
      <c r="A285" s="1" t="s">
        <v>370</v>
      </c>
      <c r="B285" s="1" t="s">
        <v>886</v>
      </c>
      <c r="C285" s="3">
        <v>44742</v>
      </c>
      <c r="D285" s="1" t="s">
        <v>901</v>
      </c>
      <c r="E285" s="1" t="s">
        <v>898</v>
      </c>
      <c r="F285" s="1">
        <v>60</v>
      </c>
      <c r="G285" s="1" t="s">
        <v>1</v>
      </c>
      <c r="H285" s="4">
        <v>13</v>
      </c>
      <c r="I285" s="5">
        <v>0.58443763111426095</v>
      </c>
      <c r="J285">
        <f>Table_3[[#This Row],[Price of One Product]]*Table_3[[#This Row],[No of Products in one Sale]]*(1-Table_3[[#This Row],[Discount]])</f>
        <v>324.13864773087647</v>
      </c>
      <c r="O285">
        <v>324.13864773087647</v>
      </c>
      <c r="P285">
        <v>0.58443763111426095</v>
      </c>
    </row>
    <row r="286" spans="1:16" ht="14.25" customHeight="1">
      <c r="A286" s="1" t="s">
        <v>371</v>
      </c>
      <c r="B286" s="1" t="s">
        <v>887</v>
      </c>
      <c r="C286" s="3">
        <v>44747</v>
      </c>
      <c r="D286" s="1" t="s">
        <v>895</v>
      </c>
      <c r="E286" s="1" t="s">
        <v>896</v>
      </c>
      <c r="F286" s="1">
        <v>72</v>
      </c>
      <c r="G286" s="1" t="s">
        <v>2</v>
      </c>
      <c r="H286" s="4">
        <v>11</v>
      </c>
      <c r="I286" s="5">
        <v>0.20269838427382159</v>
      </c>
      <c r="J286">
        <f>Table_3[[#This Row],[Price of One Product]]*Table_3[[#This Row],[No of Products in one Sale]]*(1-Table_3[[#This Row],[Discount]])</f>
        <v>631.46287965513329</v>
      </c>
      <c r="O286">
        <v>631.46287965513329</v>
      </c>
      <c r="P286">
        <v>0.20269838427382159</v>
      </c>
    </row>
    <row r="287" spans="1:16" ht="14.25" customHeight="1">
      <c r="A287" s="1" t="s">
        <v>372</v>
      </c>
      <c r="B287" s="1" t="s">
        <v>883</v>
      </c>
      <c r="C287" s="3">
        <v>44764</v>
      </c>
      <c r="D287" s="1" t="s">
        <v>897</v>
      </c>
      <c r="E287" s="1" t="s">
        <v>898</v>
      </c>
      <c r="F287" s="1">
        <v>65</v>
      </c>
      <c r="G287" s="1" t="s">
        <v>3</v>
      </c>
      <c r="H287" s="4">
        <v>5</v>
      </c>
      <c r="I287" s="5">
        <v>0.34588473967990274</v>
      </c>
      <c r="J287">
        <f>Table_3[[#This Row],[Price of One Product]]*Table_3[[#This Row],[No of Products in one Sale]]*(1-Table_3[[#This Row],[Discount]])</f>
        <v>212.58745960403161</v>
      </c>
      <c r="O287">
        <v>212.58745960403161</v>
      </c>
      <c r="P287">
        <v>0.34588473967990274</v>
      </c>
    </row>
    <row r="288" spans="1:16" ht="14.25" customHeight="1">
      <c r="A288" s="1" t="s">
        <v>373</v>
      </c>
      <c r="B288" s="1" t="s">
        <v>884</v>
      </c>
      <c r="C288" s="3">
        <v>44735</v>
      </c>
      <c r="D288" s="1" t="s">
        <v>899</v>
      </c>
      <c r="E288" s="1" t="s">
        <v>896</v>
      </c>
      <c r="F288" s="1">
        <v>250</v>
      </c>
      <c r="G288" s="1" t="s">
        <v>1</v>
      </c>
      <c r="H288" s="4">
        <v>3</v>
      </c>
      <c r="I288" s="5">
        <v>0.44863071332488991</v>
      </c>
      <c r="J288">
        <f>Table_3[[#This Row],[Price of One Product]]*Table_3[[#This Row],[No of Products in one Sale]]*(1-Table_3[[#This Row],[Discount]])</f>
        <v>413.52696500633255</v>
      </c>
      <c r="O288">
        <v>413.52696500633255</v>
      </c>
      <c r="P288">
        <v>0.44863071332488991</v>
      </c>
    </row>
    <row r="289" spans="1:16" ht="14.25" customHeight="1">
      <c r="A289" s="1" t="s">
        <v>374</v>
      </c>
      <c r="B289" s="1" t="s">
        <v>885</v>
      </c>
      <c r="C289" s="3">
        <v>44737</v>
      </c>
      <c r="D289" s="1" t="s">
        <v>900</v>
      </c>
      <c r="E289" s="1" t="s">
        <v>898</v>
      </c>
      <c r="F289" s="1">
        <v>130</v>
      </c>
      <c r="G289" s="1" t="s">
        <v>2</v>
      </c>
      <c r="H289" s="4">
        <v>2</v>
      </c>
      <c r="I289" s="5">
        <v>0.41195662281860623</v>
      </c>
      <c r="J289">
        <f>Table_3[[#This Row],[Price of One Product]]*Table_3[[#This Row],[No of Products in one Sale]]*(1-Table_3[[#This Row],[Discount]])</f>
        <v>152.89127806716238</v>
      </c>
      <c r="O289">
        <v>152.89127806716238</v>
      </c>
      <c r="P289">
        <v>0.41195662281860623</v>
      </c>
    </row>
    <row r="290" spans="1:16" ht="14.25" customHeight="1">
      <c r="A290" s="1" t="s">
        <v>375</v>
      </c>
      <c r="B290" s="1" t="s">
        <v>886</v>
      </c>
      <c r="C290" s="3">
        <v>44749</v>
      </c>
      <c r="D290" s="1" t="s">
        <v>895</v>
      </c>
      <c r="E290" s="1" t="s">
        <v>896</v>
      </c>
      <c r="F290" s="1">
        <v>72</v>
      </c>
      <c r="G290" s="1" t="s">
        <v>3</v>
      </c>
      <c r="H290" s="4">
        <v>10</v>
      </c>
      <c r="I290" s="5">
        <v>0.78611978286567918</v>
      </c>
      <c r="J290">
        <f>Table_3[[#This Row],[Price of One Product]]*Table_3[[#This Row],[No of Products in one Sale]]*(1-Table_3[[#This Row],[Discount]])</f>
        <v>153.99375633671099</v>
      </c>
      <c r="O290">
        <v>153.99375633671099</v>
      </c>
      <c r="P290">
        <v>0.78611978286567918</v>
      </c>
    </row>
    <row r="291" spans="1:16" ht="14.25" customHeight="1">
      <c r="A291" s="1" t="s">
        <v>376</v>
      </c>
      <c r="B291" s="1" t="s">
        <v>883</v>
      </c>
      <c r="C291" s="3">
        <v>44729</v>
      </c>
      <c r="D291" s="1" t="s">
        <v>897</v>
      </c>
      <c r="E291" s="1" t="s">
        <v>898</v>
      </c>
      <c r="F291" s="1">
        <v>65</v>
      </c>
      <c r="G291" s="1" t="s">
        <v>1</v>
      </c>
      <c r="H291" s="4">
        <v>12</v>
      </c>
      <c r="I291" s="5">
        <v>0.82093526112515247</v>
      </c>
      <c r="J291">
        <f>Table_3[[#This Row],[Price of One Product]]*Table_3[[#This Row],[No of Products in one Sale]]*(1-Table_3[[#This Row],[Discount]])</f>
        <v>139.67049632238107</v>
      </c>
      <c r="O291">
        <v>139.67049632238107</v>
      </c>
      <c r="P291">
        <v>0.82093526112515247</v>
      </c>
    </row>
    <row r="292" spans="1:16" ht="14.25" customHeight="1">
      <c r="A292" s="1" t="s">
        <v>377</v>
      </c>
      <c r="B292" s="1" t="s">
        <v>884</v>
      </c>
      <c r="C292" s="3">
        <v>44738</v>
      </c>
      <c r="D292" s="1" t="s">
        <v>899</v>
      </c>
      <c r="E292" s="1" t="s">
        <v>896</v>
      </c>
      <c r="F292" s="1">
        <v>250</v>
      </c>
      <c r="G292" s="1" t="s">
        <v>2</v>
      </c>
      <c r="H292" s="4">
        <v>3</v>
      </c>
      <c r="I292" s="5">
        <v>0.5655055849614361</v>
      </c>
      <c r="J292">
        <f>Table_3[[#This Row],[Price of One Product]]*Table_3[[#This Row],[No of Products in one Sale]]*(1-Table_3[[#This Row],[Discount]])</f>
        <v>325.87081127892293</v>
      </c>
      <c r="O292">
        <v>325.87081127892293</v>
      </c>
      <c r="P292">
        <v>0.5655055849614361</v>
      </c>
    </row>
    <row r="293" spans="1:16" ht="14.25" customHeight="1">
      <c r="A293" s="1" t="s">
        <v>378</v>
      </c>
      <c r="B293" s="1" t="s">
        <v>885</v>
      </c>
      <c r="C293" s="3">
        <v>44740</v>
      </c>
      <c r="D293" s="1" t="s">
        <v>900</v>
      </c>
      <c r="E293" s="1" t="s">
        <v>898</v>
      </c>
      <c r="F293" s="1">
        <v>130</v>
      </c>
      <c r="G293" s="1" t="s">
        <v>3</v>
      </c>
      <c r="H293" s="4">
        <v>4</v>
      </c>
      <c r="I293" s="5">
        <v>0.48001599413027629</v>
      </c>
      <c r="J293">
        <f>Table_3[[#This Row],[Price of One Product]]*Table_3[[#This Row],[No of Products in one Sale]]*(1-Table_3[[#This Row],[Discount]])</f>
        <v>270.39168305225633</v>
      </c>
      <c r="O293">
        <v>270.39168305225633</v>
      </c>
      <c r="P293">
        <v>0.48001599413027629</v>
      </c>
    </row>
    <row r="294" spans="1:16" ht="14.25" customHeight="1">
      <c r="A294" s="1" t="s">
        <v>379</v>
      </c>
      <c r="B294" s="1" t="s">
        <v>886</v>
      </c>
      <c r="C294" s="3">
        <v>44755</v>
      </c>
      <c r="D294" s="1" t="s">
        <v>901</v>
      </c>
      <c r="E294" s="1" t="s">
        <v>896</v>
      </c>
      <c r="F294" s="1">
        <v>60</v>
      </c>
      <c r="G294" s="1" t="s">
        <v>1</v>
      </c>
      <c r="H294" s="4">
        <v>9</v>
      </c>
      <c r="I294" s="5">
        <v>0.80703544305681518</v>
      </c>
      <c r="J294">
        <f>Table_3[[#This Row],[Price of One Product]]*Table_3[[#This Row],[No of Products in one Sale]]*(1-Table_3[[#This Row],[Discount]])</f>
        <v>104.2008607493198</v>
      </c>
      <c r="O294">
        <v>104.2008607493198</v>
      </c>
      <c r="P294">
        <v>0.80703544305681518</v>
      </c>
    </row>
    <row r="295" spans="1:16" ht="14.25" customHeight="1">
      <c r="A295" s="1" t="s">
        <v>380</v>
      </c>
      <c r="B295" s="1" t="s">
        <v>887</v>
      </c>
      <c r="C295" s="3">
        <v>44755</v>
      </c>
      <c r="D295" s="1" t="s">
        <v>902</v>
      </c>
      <c r="E295" s="1" t="s">
        <v>898</v>
      </c>
      <c r="F295" s="1">
        <v>95</v>
      </c>
      <c r="G295" s="1" t="s">
        <v>2</v>
      </c>
      <c r="H295" s="4">
        <v>6</v>
      </c>
      <c r="I295" s="5">
        <v>0.13472953271650978</v>
      </c>
      <c r="J295">
        <f>Table_3[[#This Row],[Price of One Product]]*Table_3[[#This Row],[No of Products in one Sale]]*(1-Table_3[[#This Row],[Discount]])</f>
        <v>493.20416635158944</v>
      </c>
      <c r="O295">
        <v>493.20416635158944</v>
      </c>
      <c r="P295">
        <v>0.13472953271650978</v>
      </c>
    </row>
    <row r="296" spans="1:16" ht="14.25" customHeight="1">
      <c r="A296" s="1" t="s">
        <v>381</v>
      </c>
      <c r="B296" s="1" t="s">
        <v>888</v>
      </c>
      <c r="C296" s="3">
        <v>44764</v>
      </c>
      <c r="D296" s="1" t="s">
        <v>895</v>
      </c>
      <c r="E296" s="1" t="s">
        <v>896</v>
      </c>
      <c r="F296" s="1">
        <v>72</v>
      </c>
      <c r="G296" s="1" t="s">
        <v>3</v>
      </c>
      <c r="H296" s="4">
        <v>9</v>
      </c>
      <c r="I296" s="5">
        <v>0.53735244514022174</v>
      </c>
      <c r="J296">
        <f>Table_3[[#This Row],[Price of One Product]]*Table_3[[#This Row],[No of Products in one Sale]]*(1-Table_3[[#This Row],[Discount]])</f>
        <v>299.7956155491363</v>
      </c>
      <c r="O296">
        <v>299.7956155491363</v>
      </c>
      <c r="P296">
        <v>0.53735244514022174</v>
      </c>
    </row>
    <row r="297" spans="1:16" ht="14.25" customHeight="1">
      <c r="A297" s="1" t="s">
        <v>382</v>
      </c>
      <c r="B297" s="1" t="s">
        <v>883</v>
      </c>
      <c r="C297" s="3">
        <v>44735</v>
      </c>
      <c r="D297" s="1" t="s">
        <v>897</v>
      </c>
      <c r="E297" s="1" t="s">
        <v>898</v>
      </c>
      <c r="F297" s="1">
        <v>65</v>
      </c>
      <c r="G297" s="1" t="s">
        <v>1</v>
      </c>
      <c r="H297" s="4">
        <v>10</v>
      </c>
      <c r="I297" s="5">
        <v>0.86493253723020291</v>
      </c>
      <c r="J297">
        <f>Table_3[[#This Row],[Price of One Product]]*Table_3[[#This Row],[No of Products in one Sale]]*(1-Table_3[[#This Row],[Discount]])</f>
        <v>87.793850800368105</v>
      </c>
      <c r="O297">
        <v>87.793850800368105</v>
      </c>
      <c r="P297">
        <v>0.86493253723020291</v>
      </c>
    </row>
    <row r="298" spans="1:16" ht="14.25" customHeight="1">
      <c r="A298" s="1" t="s">
        <v>383</v>
      </c>
      <c r="B298" s="1" t="s">
        <v>884</v>
      </c>
      <c r="C298" s="3">
        <v>44734</v>
      </c>
      <c r="D298" s="1" t="s">
        <v>899</v>
      </c>
      <c r="E298" s="1" t="s">
        <v>896</v>
      </c>
      <c r="F298" s="1">
        <v>250</v>
      </c>
      <c r="G298" s="1" t="s">
        <v>2</v>
      </c>
      <c r="H298" s="4">
        <v>2</v>
      </c>
      <c r="I298" s="5">
        <v>0.14635193252367351</v>
      </c>
      <c r="J298">
        <f>Table_3[[#This Row],[Price of One Product]]*Table_3[[#This Row],[No of Products in one Sale]]*(1-Table_3[[#This Row],[Discount]])</f>
        <v>426.82403373816322</v>
      </c>
      <c r="O298">
        <v>426.82403373816322</v>
      </c>
      <c r="P298">
        <v>0.14635193252367351</v>
      </c>
    </row>
    <row r="299" spans="1:16" ht="14.25" customHeight="1">
      <c r="A299" s="1" t="s">
        <v>384</v>
      </c>
      <c r="B299" s="1" t="s">
        <v>885</v>
      </c>
      <c r="C299" s="3">
        <v>44728</v>
      </c>
      <c r="D299" s="1" t="s">
        <v>900</v>
      </c>
      <c r="E299" s="1" t="s">
        <v>898</v>
      </c>
      <c r="F299" s="1">
        <v>130</v>
      </c>
      <c r="G299" s="1" t="s">
        <v>3</v>
      </c>
      <c r="H299" s="4">
        <v>5</v>
      </c>
      <c r="I299" s="5">
        <v>0.49930216593502397</v>
      </c>
      <c r="J299">
        <f>Table_3[[#This Row],[Price of One Product]]*Table_3[[#This Row],[No of Products in one Sale]]*(1-Table_3[[#This Row],[Discount]])</f>
        <v>325.45359214223441</v>
      </c>
      <c r="O299">
        <v>325.45359214223441</v>
      </c>
      <c r="P299">
        <v>0.49930216593502397</v>
      </c>
    </row>
    <row r="300" spans="1:16" ht="14.25" customHeight="1">
      <c r="A300" s="1" t="s">
        <v>385</v>
      </c>
      <c r="B300" s="1" t="s">
        <v>886</v>
      </c>
      <c r="C300" s="3">
        <v>44739</v>
      </c>
      <c r="D300" s="1" t="s">
        <v>895</v>
      </c>
      <c r="E300" s="1" t="s">
        <v>896</v>
      </c>
      <c r="F300" s="1">
        <v>72</v>
      </c>
      <c r="G300" s="1" t="s">
        <v>1</v>
      </c>
      <c r="H300" s="4">
        <v>4</v>
      </c>
      <c r="I300" s="5">
        <v>0.16760369217058779</v>
      </c>
      <c r="J300">
        <f>Table_3[[#This Row],[Price of One Product]]*Table_3[[#This Row],[No of Products in one Sale]]*(1-Table_3[[#This Row],[Discount]])</f>
        <v>239.73013665487071</v>
      </c>
      <c r="O300">
        <v>239.73013665487071</v>
      </c>
      <c r="P300">
        <v>0.16760369217058779</v>
      </c>
    </row>
    <row r="301" spans="1:16" ht="14.25" customHeight="1">
      <c r="A301" s="1" t="s">
        <v>386</v>
      </c>
      <c r="B301" s="1" t="s">
        <v>883</v>
      </c>
      <c r="C301" s="3">
        <v>44765</v>
      </c>
      <c r="D301" s="1" t="s">
        <v>897</v>
      </c>
      <c r="E301" s="1" t="s">
        <v>898</v>
      </c>
      <c r="F301" s="1">
        <v>65</v>
      </c>
      <c r="G301" s="1" t="s">
        <v>2</v>
      </c>
      <c r="H301" s="4">
        <v>13</v>
      </c>
      <c r="I301" s="5">
        <v>0.57040391639924315</v>
      </c>
      <c r="J301">
        <f>Table_3[[#This Row],[Price of One Product]]*Table_3[[#This Row],[No of Products in one Sale]]*(1-Table_3[[#This Row],[Discount]])</f>
        <v>363.00869064263952</v>
      </c>
      <c r="O301">
        <v>363.00869064263952</v>
      </c>
      <c r="P301">
        <v>0.57040391639924315</v>
      </c>
    </row>
    <row r="302" spans="1:16" ht="14.25" customHeight="1">
      <c r="A302" s="1" t="s">
        <v>387</v>
      </c>
      <c r="B302" s="1" t="s">
        <v>884</v>
      </c>
      <c r="C302" s="3">
        <v>44740</v>
      </c>
      <c r="D302" s="1" t="s">
        <v>899</v>
      </c>
      <c r="E302" s="1" t="s">
        <v>898</v>
      </c>
      <c r="F302" s="1">
        <v>250</v>
      </c>
      <c r="G302" s="1" t="s">
        <v>3</v>
      </c>
      <c r="H302" s="4">
        <v>2</v>
      </c>
      <c r="I302" s="5">
        <v>0.35240472893682595</v>
      </c>
      <c r="J302">
        <f>Table_3[[#This Row],[Price of One Product]]*Table_3[[#This Row],[No of Products in one Sale]]*(1-Table_3[[#This Row],[Discount]])</f>
        <v>323.79763553158705</v>
      </c>
      <c r="O302">
        <v>323.79763553158705</v>
      </c>
      <c r="P302">
        <v>0.35240472893682595</v>
      </c>
    </row>
    <row r="303" spans="1:16" ht="14.25" customHeight="1">
      <c r="A303" s="1" t="s">
        <v>388</v>
      </c>
      <c r="B303" s="1" t="s">
        <v>885</v>
      </c>
      <c r="C303" s="3">
        <v>44734</v>
      </c>
      <c r="D303" s="1" t="s">
        <v>900</v>
      </c>
      <c r="E303" s="1" t="s">
        <v>898</v>
      </c>
      <c r="F303" s="1">
        <v>130</v>
      </c>
      <c r="G303" s="1" t="s">
        <v>1</v>
      </c>
      <c r="H303" s="4">
        <v>3</v>
      </c>
      <c r="I303" s="5">
        <v>0.11208092156242278</v>
      </c>
      <c r="J303">
        <f>Table_3[[#This Row],[Price of One Product]]*Table_3[[#This Row],[No of Products in one Sale]]*(1-Table_3[[#This Row],[Discount]])</f>
        <v>346.28844059065511</v>
      </c>
      <c r="O303">
        <v>346.28844059065511</v>
      </c>
      <c r="P303">
        <v>0.11208092156242278</v>
      </c>
    </row>
    <row r="304" spans="1:16" ht="14.25" customHeight="1">
      <c r="A304" s="1" t="s">
        <v>389</v>
      </c>
      <c r="B304" s="1" t="s">
        <v>886</v>
      </c>
      <c r="C304" s="3">
        <v>44727</v>
      </c>
      <c r="D304" s="1" t="s">
        <v>901</v>
      </c>
      <c r="E304" s="1" t="s">
        <v>898</v>
      </c>
      <c r="F304" s="1">
        <v>60</v>
      </c>
      <c r="G304" s="1" t="s">
        <v>2</v>
      </c>
      <c r="H304" s="4">
        <v>10</v>
      </c>
      <c r="I304" s="5">
        <v>0.57839134647100132</v>
      </c>
      <c r="J304">
        <f>Table_3[[#This Row],[Price of One Product]]*Table_3[[#This Row],[No of Products in one Sale]]*(1-Table_3[[#This Row],[Discount]])</f>
        <v>252.9651921173992</v>
      </c>
      <c r="O304">
        <v>252.9651921173992</v>
      </c>
      <c r="P304">
        <v>0.57839134647100132</v>
      </c>
    </row>
    <row r="305" spans="1:16" ht="14.25" customHeight="1">
      <c r="A305" s="1" t="s">
        <v>390</v>
      </c>
      <c r="B305" s="1" t="s">
        <v>887</v>
      </c>
      <c r="C305" s="3">
        <v>44737</v>
      </c>
      <c r="D305" s="1" t="s">
        <v>895</v>
      </c>
      <c r="E305" s="1" t="s">
        <v>898</v>
      </c>
      <c r="F305" s="1">
        <v>72</v>
      </c>
      <c r="G305" s="1" t="s">
        <v>3</v>
      </c>
      <c r="H305" s="4">
        <v>9</v>
      </c>
      <c r="I305" s="5">
        <v>0.18785567306752626</v>
      </c>
      <c r="J305">
        <f>Table_3[[#This Row],[Price of One Product]]*Table_3[[#This Row],[No of Products in one Sale]]*(1-Table_3[[#This Row],[Discount]])</f>
        <v>526.26952385224297</v>
      </c>
      <c r="O305">
        <v>526.26952385224297</v>
      </c>
      <c r="P305">
        <v>0.18785567306752626</v>
      </c>
    </row>
    <row r="306" spans="1:16" ht="14.25" customHeight="1">
      <c r="A306" s="1" t="s">
        <v>391</v>
      </c>
      <c r="B306" s="1" t="s">
        <v>883</v>
      </c>
      <c r="C306" s="3">
        <v>44747</v>
      </c>
      <c r="D306" s="1" t="s">
        <v>897</v>
      </c>
      <c r="E306" s="1" t="s">
        <v>896</v>
      </c>
      <c r="F306" s="1">
        <v>65</v>
      </c>
      <c r="G306" s="1" t="s">
        <v>1</v>
      </c>
      <c r="H306" s="4">
        <v>8</v>
      </c>
      <c r="I306" s="5">
        <v>0.69234786906479862</v>
      </c>
      <c r="J306">
        <f>Table_3[[#This Row],[Price of One Product]]*Table_3[[#This Row],[No of Products in one Sale]]*(1-Table_3[[#This Row],[Discount]])</f>
        <v>159.97910808630473</v>
      </c>
      <c r="O306">
        <v>159.97910808630473</v>
      </c>
      <c r="P306">
        <v>0.69234786906479862</v>
      </c>
    </row>
    <row r="307" spans="1:16" ht="14.25" customHeight="1">
      <c r="A307" s="1" t="s">
        <v>392</v>
      </c>
      <c r="B307" s="1" t="s">
        <v>884</v>
      </c>
      <c r="C307" s="3">
        <v>44754</v>
      </c>
      <c r="D307" s="1" t="s">
        <v>899</v>
      </c>
      <c r="E307" s="1" t="s">
        <v>898</v>
      </c>
      <c r="F307" s="1">
        <v>250</v>
      </c>
      <c r="G307" s="1" t="s">
        <v>2</v>
      </c>
      <c r="H307" s="4">
        <v>3</v>
      </c>
      <c r="I307" s="5">
        <v>0.7313105471637672</v>
      </c>
      <c r="J307">
        <f>Table_3[[#This Row],[Price of One Product]]*Table_3[[#This Row],[No of Products in one Sale]]*(1-Table_3[[#This Row],[Discount]])</f>
        <v>201.51708962717461</v>
      </c>
      <c r="O307">
        <v>201.51708962717461</v>
      </c>
      <c r="P307">
        <v>0.7313105471637672</v>
      </c>
    </row>
    <row r="308" spans="1:16" ht="14.25" customHeight="1">
      <c r="A308" s="1" t="s">
        <v>393</v>
      </c>
      <c r="B308" s="1" t="s">
        <v>885</v>
      </c>
      <c r="C308" s="3">
        <v>44760</v>
      </c>
      <c r="D308" s="1" t="s">
        <v>900</v>
      </c>
      <c r="E308" s="1" t="s">
        <v>896</v>
      </c>
      <c r="F308" s="1">
        <v>130</v>
      </c>
      <c r="G308" s="1" t="s">
        <v>3</v>
      </c>
      <c r="H308" s="4">
        <v>3</v>
      </c>
      <c r="I308" s="5">
        <v>0.39651294953245186</v>
      </c>
      <c r="J308">
        <f>Table_3[[#This Row],[Price of One Product]]*Table_3[[#This Row],[No of Products in one Sale]]*(1-Table_3[[#This Row],[Discount]])</f>
        <v>235.35994968234377</v>
      </c>
      <c r="O308">
        <v>235.35994968234377</v>
      </c>
      <c r="P308">
        <v>0.39651294953245186</v>
      </c>
    </row>
    <row r="309" spans="1:16" ht="14.25" customHeight="1">
      <c r="A309" s="1" t="s">
        <v>394</v>
      </c>
      <c r="B309" s="1" t="s">
        <v>886</v>
      </c>
      <c r="C309" s="3">
        <v>44759</v>
      </c>
      <c r="D309" s="1" t="s">
        <v>895</v>
      </c>
      <c r="E309" s="1" t="s">
        <v>898</v>
      </c>
      <c r="F309" s="1">
        <v>72</v>
      </c>
      <c r="G309" s="1" t="s">
        <v>1</v>
      </c>
      <c r="H309" s="4">
        <v>5</v>
      </c>
      <c r="I309" s="5">
        <v>0.47053293956185105</v>
      </c>
      <c r="J309">
        <f>Table_3[[#This Row],[Price of One Product]]*Table_3[[#This Row],[No of Products in one Sale]]*(1-Table_3[[#This Row],[Discount]])</f>
        <v>190.60814175773362</v>
      </c>
      <c r="O309">
        <v>190.60814175773362</v>
      </c>
      <c r="P309">
        <v>0.47053293956185105</v>
      </c>
    </row>
    <row r="310" spans="1:16" ht="14.25" customHeight="1">
      <c r="A310" s="1" t="s">
        <v>395</v>
      </c>
      <c r="B310" s="1" t="s">
        <v>883</v>
      </c>
      <c r="C310" s="3">
        <v>44735</v>
      </c>
      <c r="D310" s="1" t="s">
        <v>897</v>
      </c>
      <c r="E310" s="1" t="s">
        <v>896</v>
      </c>
      <c r="F310" s="1">
        <v>65</v>
      </c>
      <c r="G310" s="1" t="s">
        <v>2</v>
      </c>
      <c r="H310" s="4">
        <v>9</v>
      </c>
      <c r="I310" s="5">
        <v>0.9022424845836422</v>
      </c>
      <c r="J310">
        <f>Table_3[[#This Row],[Price of One Product]]*Table_3[[#This Row],[No of Products in one Sale]]*(1-Table_3[[#This Row],[Discount]])</f>
        <v>57.188146518569312</v>
      </c>
      <c r="O310">
        <v>57.188146518569312</v>
      </c>
      <c r="P310">
        <v>0.9022424845836422</v>
      </c>
    </row>
    <row r="311" spans="1:16" ht="14.25" customHeight="1">
      <c r="A311" s="1" t="s">
        <v>396</v>
      </c>
      <c r="B311" s="1" t="s">
        <v>884</v>
      </c>
      <c r="C311" s="3">
        <v>44734</v>
      </c>
      <c r="D311" s="1" t="s">
        <v>899</v>
      </c>
      <c r="E311" s="1" t="s">
        <v>898</v>
      </c>
      <c r="F311" s="1">
        <v>250</v>
      </c>
      <c r="G311" s="1" t="s">
        <v>3</v>
      </c>
      <c r="H311" s="4">
        <v>1</v>
      </c>
      <c r="I311" s="5">
        <v>0.25057968884738369</v>
      </c>
      <c r="J311">
        <f>Table_3[[#This Row],[Price of One Product]]*Table_3[[#This Row],[No of Products in one Sale]]*(1-Table_3[[#This Row],[Discount]])</f>
        <v>187.35507778815409</v>
      </c>
      <c r="O311">
        <v>187.35507778815409</v>
      </c>
      <c r="P311">
        <v>0.25057968884738369</v>
      </c>
    </row>
    <row r="312" spans="1:16" ht="14.25" customHeight="1">
      <c r="A312" s="1" t="s">
        <v>397</v>
      </c>
      <c r="B312" s="1" t="s">
        <v>885</v>
      </c>
      <c r="C312" s="3">
        <v>44753</v>
      </c>
      <c r="D312" s="1" t="s">
        <v>900</v>
      </c>
      <c r="E312" s="1" t="s">
        <v>896</v>
      </c>
      <c r="F312" s="1">
        <v>130</v>
      </c>
      <c r="G312" s="1" t="s">
        <v>1</v>
      </c>
      <c r="H312" s="4">
        <v>4</v>
      </c>
      <c r="I312" s="5">
        <v>0.56892266919679113</v>
      </c>
      <c r="J312">
        <f>Table_3[[#This Row],[Price of One Product]]*Table_3[[#This Row],[No of Products in one Sale]]*(1-Table_3[[#This Row],[Discount]])</f>
        <v>224.16021201766861</v>
      </c>
      <c r="O312">
        <v>224.16021201766861</v>
      </c>
      <c r="P312">
        <v>0.56892266919679113</v>
      </c>
    </row>
    <row r="313" spans="1:16" ht="14.25" customHeight="1">
      <c r="A313" s="1" t="s">
        <v>398</v>
      </c>
      <c r="B313" s="1" t="s">
        <v>886</v>
      </c>
      <c r="C313" s="3">
        <v>44739</v>
      </c>
      <c r="D313" s="1" t="s">
        <v>901</v>
      </c>
      <c r="E313" s="1" t="s">
        <v>898</v>
      </c>
      <c r="F313" s="1">
        <v>60</v>
      </c>
      <c r="G313" s="1" t="s">
        <v>2</v>
      </c>
      <c r="H313" s="4">
        <v>6</v>
      </c>
      <c r="I313" s="5">
        <v>3.357106137416721E-2</v>
      </c>
      <c r="J313">
        <f>Table_3[[#This Row],[Price of One Product]]*Table_3[[#This Row],[No of Products in one Sale]]*(1-Table_3[[#This Row],[Discount]])</f>
        <v>347.91441790529979</v>
      </c>
      <c r="O313">
        <v>347.91441790529979</v>
      </c>
      <c r="P313">
        <v>3.357106137416721E-2</v>
      </c>
    </row>
    <row r="314" spans="1:16" ht="14.25" customHeight="1">
      <c r="A314" s="1" t="s">
        <v>399</v>
      </c>
      <c r="B314" s="1" t="s">
        <v>887</v>
      </c>
      <c r="C314" s="3">
        <v>44740</v>
      </c>
      <c r="D314" s="1" t="s">
        <v>902</v>
      </c>
      <c r="E314" s="1" t="s">
        <v>896</v>
      </c>
      <c r="F314" s="1">
        <v>95</v>
      </c>
      <c r="G314" s="1" t="s">
        <v>3</v>
      </c>
      <c r="H314" s="4">
        <v>4</v>
      </c>
      <c r="I314" s="5">
        <v>0.11797039324964398</v>
      </c>
      <c r="J314">
        <f>Table_3[[#This Row],[Price of One Product]]*Table_3[[#This Row],[No of Products in one Sale]]*(1-Table_3[[#This Row],[Discount]])</f>
        <v>335.17125056513527</v>
      </c>
      <c r="O314">
        <v>335.17125056513527</v>
      </c>
      <c r="P314">
        <v>0.11797039324964398</v>
      </c>
    </row>
    <row r="315" spans="1:16" ht="14.25" customHeight="1">
      <c r="A315" s="1" t="s">
        <v>400</v>
      </c>
      <c r="B315" s="1" t="s">
        <v>888</v>
      </c>
      <c r="C315" s="3">
        <v>44748</v>
      </c>
      <c r="D315" s="1" t="s">
        <v>895</v>
      </c>
      <c r="E315" s="1" t="s">
        <v>898</v>
      </c>
      <c r="F315" s="1">
        <v>72</v>
      </c>
      <c r="G315" s="1" t="s">
        <v>1</v>
      </c>
      <c r="H315" s="4">
        <v>8</v>
      </c>
      <c r="I315" s="5">
        <v>2.8176385964748696E-2</v>
      </c>
      <c r="J315">
        <f>Table_3[[#This Row],[Price of One Product]]*Table_3[[#This Row],[No of Products in one Sale]]*(1-Table_3[[#This Row],[Discount]])</f>
        <v>559.77040168430472</v>
      </c>
      <c r="O315">
        <v>559.77040168430472</v>
      </c>
      <c r="P315">
        <v>2.8176385964748696E-2</v>
      </c>
    </row>
    <row r="316" spans="1:16" ht="14.25" customHeight="1">
      <c r="A316" s="1" t="s">
        <v>401</v>
      </c>
      <c r="B316" s="1" t="s">
        <v>883</v>
      </c>
      <c r="C316" s="3">
        <v>44731</v>
      </c>
      <c r="D316" s="1" t="s">
        <v>897</v>
      </c>
      <c r="E316" s="1" t="s">
        <v>896</v>
      </c>
      <c r="F316" s="1">
        <v>65</v>
      </c>
      <c r="G316" s="1" t="s">
        <v>2</v>
      </c>
      <c r="H316" s="4">
        <v>8</v>
      </c>
      <c r="I316" s="5">
        <v>0.66941136725758887</v>
      </c>
      <c r="J316">
        <f>Table_3[[#This Row],[Price of One Product]]*Table_3[[#This Row],[No of Products in one Sale]]*(1-Table_3[[#This Row],[Discount]])</f>
        <v>171.90608902605379</v>
      </c>
      <c r="O316">
        <v>171.90608902605379</v>
      </c>
      <c r="P316">
        <v>0.66941136725758887</v>
      </c>
    </row>
    <row r="317" spans="1:16" ht="14.25" customHeight="1">
      <c r="A317" s="1" t="s">
        <v>402</v>
      </c>
      <c r="B317" s="1" t="s">
        <v>884</v>
      </c>
      <c r="C317" s="3">
        <v>44763</v>
      </c>
      <c r="D317" s="1" t="s">
        <v>899</v>
      </c>
      <c r="E317" s="1" t="s">
        <v>898</v>
      </c>
      <c r="F317" s="1">
        <v>250</v>
      </c>
      <c r="G317" s="1" t="s">
        <v>3</v>
      </c>
      <c r="H317" s="4">
        <v>2</v>
      </c>
      <c r="I317" s="5">
        <v>0.36448172495541775</v>
      </c>
      <c r="J317">
        <f>Table_3[[#This Row],[Price of One Product]]*Table_3[[#This Row],[No of Products in one Sale]]*(1-Table_3[[#This Row],[Discount]])</f>
        <v>317.7591375222911</v>
      </c>
      <c r="O317">
        <v>317.7591375222911</v>
      </c>
      <c r="P317">
        <v>0.36448172495541775</v>
      </c>
    </row>
    <row r="318" spans="1:16" ht="14.25" customHeight="1">
      <c r="A318" s="1" t="s">
        <v>403</v>
      </c>
      <c r="B318" s="1" t="s">
        <v>885</v>
      </c>
      <c r="C318" s="3">
        <v>44733</v>
      </c>
      <c r="D318" s="1" t="s">
        <v>900</v>
      </c>
      <c r="E318" s="1" t="s">
        <v>896</v>
      </c>
      <c r="F318" s="1">
        <v>130</v>
      </c>
      <c r="G318" s="1" t="s">
        <v>1</v>
      </c>
      <c r="H318" s="4">
        <v>7</v>
      </c>
      <c r="I318" s="5">
        <v>0.15416488306079768</v>
      </c>
      <c r="J318">
        <f>Table_3[[#This Row],[Price of One Product]]*Table_3[[#This Row],[No of Products in one Sale]]*(1-Table_3[[#This Row],[Discount]])</f>
        <v>769.70995641467414</v>
      </c>
      <c r="O318">
        <v>769.70995641467414</v>
      </c>
      <c r="P318">
        <v>0.15416488306079768</v>
      </c>
    </row>
    <row r="319" spans="1:16" ht="14.25" customHeight="1">
      <c r="A319" s="1" t="s">
        <v>404</v>
      </c>
      <c r="B319" s="1" t="s">
        <v>886</v>
      </c>
      <c r="C319" s="3">
        <v>44746</v>
      </c>
      <c r="D319" s="1" t="s">
        <v>895</v>
      </c>
      <c r="E319" s="1" t="s">
        <v>898</v>
      </c>
      <c r="F319" s="1">
        <v>72</v>
      </c>
      <c r="G319" s="1" t="s">
        <v>2</v>
      </c>
      <c r="H319" s="4">
        <v>7</v>
      </c>
      <c r="I319" s="5">
        <v>0.66646609625242947</v>
      </c>
      <c r="J319">
        <f>Table_3[[#This Row],[Price of One Product]]*Table_3[[#This Row],[No of Products in one Sale]]*(1-Table_3[[#This Row],[Discount]])</f>
        <v>168.10108748877553</v>
      </c>
      <c r="O319">
        <v>168.10108748877553</v>
      </c>
      <c r="P319">
        <v>0.66646609625242947</v>
      </c>
    </row>
    <row r="320" spans="1:16" ht="14.25" customHeight="1">
      <c r="A320" s="1" t="s">
        <v>405</v>
      </c>
      <c r="B320" s="1" t="s">
        <v>883</v>
      </c>
      <c r="C320" s="3">
        <v>44755</v>
      </c>
      <c r="D320" s="1" t="s">
        <v>897</v>
      </c>
      <c r="E320" s="1" t="s">
        <v>896</v>
      </c>
      <c r="F320" s="1">
        <v>65</v>
      </c>
      <c r="G320" s="1" t="s">
        <v>3</v>
      </c>
      <c r="H320" s="4">
        <v>4</v>
      </c>
      <c r="I320" s="5">
        <v>0.69183752034253276</v>
      </c>
      <c r="J320">
        <f>Table_3[[#This Row],[Price of One Product]]*Table_3[[#This Row],[No of Products in one Sale]]*(1-Table_3[[#This Row],[Discount]])</f>
        <v>80.122244710941487</v>
      </c>
      <c r="O320">
        <v>80.122244710941487</v>
      </c>
      <c r="P320">
        <v>0.69183752034253276</v>
      </c>
    </row>
    <row r="321" spans="1:16" ht="14.25" customHeight="1">
      <c r="A321" s="1" t="s">
        <v>406</v>
      </c>
      <c r="B321" s="1" t="s">
        <v>884</v>
      </c>
      <c r="C321" s="3">
        <v>44755</v>
      </c>
      <c r="D321" s="1" t="s">
        <v>899</v>
      </c>
      <c r="E321" s="1" t="s">
        <v>898</v>
      </c>
      <c r="F321" s="1">
        <v>250</v>
      </c>
      <c r="G321" s="1" t="s">
        <v>1</v>
      </c>
      <c r="H321" s="4">
        <v>2</v>
      </c>
      <c r="I321" s="5">
        <v>0.14649599591234685</v>
      </c>
      <c r="J321">
        <f>Table_3[[#This Row],[Price of One Product]]*Table_3[[#This Row],[No of Products in one Sale]]*(1-Table_3[[#This Row],[Discount]])</f>
        <v>426.75200204382656</v>
      </c>
      <c r="O321">
        <v>426.75200204382656</v>
      </c>
      <c r="P321">
        <v>0.14649599591234685</v>
      </c>
    </row>
    <row r="322" spans="1:16" ht="14.25" customHeight="1">
      <c r="A322" s="1" t="s">
        <v>407</v>
      </c>
      <c r="B322" s="1" t="s">
        <v>885</v>
      </c>
      <c r="C322" s="3">
        <v>44727</v>
      </c>
      <c r="D322" s="1" t="s">
        <v>900</v>
      </c>
      <c r="E322" s="1" t="s">
        <v>896</v>
      </c>
      <c r="F322" s="1">
        <v>130</v>
      </c>
      <c r="G322" s="1" t="s">
        <v>2</v>
      </c>
      <c r="H322" s="4">
        <v>2</v>
      </c>
      <c r="I322" s="5">
        <v>0.98540635482364014</v>
      </c>
      <c r="J322">
        <f>Table_3[[#This Row],[Price of One Product]]*Table_3[[#This Row],[No of Products in one Sale]]*(1-Table_3[[#This Row],[Discount]])</f>
        <v>3.7943477458535635</v>
      </c>
      <c r="O322">
        <v>3.7943477458535635</v>
      </c>
      <c r="P322">
        <v>0.98540635482364014</v>
      </c>
    </row>
    <row r="323" spans="1:16" ht="14.25" customHeight="1">
      <c r="A323" s="1" t="s">
        <v>408</v>
      </c>
      <c r="B323" s="1" t="s">
        <v>886</v>
      </c>
      <c r="C323" s="3">
        <v>44746</v>
      </c>
      <c r="D323" s="1" t="s">
        <v>895</v>
      </c>
      <c r="E323" s="1" t="s">
        <v>898</v>
      </c>
      <c r="F323" s="1">
        <v>72</v>
      </c>
      <c r="G323" s="1" t="s">
        <v>3</v>
      </c>
      <c r="H323" s="4">
        <v>9</v>
      </c>
      <c r="I323" s="5">
        <v>0.32091320735788698</v>
      </c>
      <c r="J323">
        <f>Table_3[[#This Row],[Price of One Product]]*Table_3[[#This Row],[No of Products in one Sale]]*(1-Table_3[[#This Row],[Discount]])</f>
        <v>440.04824163208923</v>
      </c>
      <c r="O323">
        <v>440.04824163208923</v>
      </c>
      <c r="P323">
        <v>0.32091320735788698</v>
      </c>
    </row>
    <row r="324" spans="1:16" ht="14.25" customHeight="1">
      <c r="A324" s="1" t="s">
        <v>409</v>
      </c>
      <c r="B324" s="1" t="s">
        <v>883</v>
      </c>
      <c r="C324" s="3">
        <v>44740</v>
      </c>
      <c r="D324" s="1" t="s">
        <v>897</v>
      </c>
      <c r="E324" s="1" t="s">
        <v>898</v>
      </c>
      <c r="F324" s="1">
        <v>65</v>
      </c>
      <c r="G324" s="1" t="s">
        <v>3</v>
      </c>
      <c r="H324" s="4">
        <v>9</v>
      </c>
      <c r="I324" s="5">
        <v>0.94495394109275654</v>
      </c>
      <c r="J324">
        <f>Table_3[[#This Row],[Price of One Product]]*Table_3[[#This Row],[No of Products in one Sale]]*(1-Table_3[[#This Row],[Discount]])</f>
        <v>32.201944460737423</v>
      </c>
      <c r="O324">
        <v>32.201944460737423</v>
      </c>
      <c r="P324">
        <v>0.94495394109275654</v>
      </c>
    </row>
    <row r="325" spans="1:16" ht="14.25" customHeight="1">
      <c r="A325" s="1" t="s">
        <v>410</v>
      </c>
      <c r="B325" s="1" t="s">
        <v>884</v>
      </c>
      <c r="C325" s="3">
        <v>44743</v>
      </c>
      <c r="D325" s="1" t="s">
        <v>899</v>
      </c>
      <c r="E325" s="1" t="s">
        <v>898</v>
      </c>
      <c r="F325" s="1">
        <v>250</v>
      </c>
      <c r="G325" s="1" t="s">
        <v>1</v>
      </c>
      <c r="H325" s="4">
        <v>2</v>
      </c>
      <c r="I325" s="5">
        <v>0.50906748027199666</v>
      </c>
      <c r="J325">
        <f>Table_3[[#This Row],[Price of One Product]]*Table_3[[#This Row],[No of Products in one Sale]]*(1-Table_3[[#This Row],[Discount]])</f>
        <v>245.46625986400167</v>
      </c>
      <c r="O325">
        <v>245.46625986400167</v>
      </c>
      <c r="P325">
        <v>0.50906748027199666</v>
      </c>
    </row>
    <row r="326" spans="1:16" ht="14.25" customHeight="1">
      <c r="A326" s="1" t="s">
        <v>411</v>
      </c>
      <c r="B326" s="1" t="s">
        <v>885</v>
      </c>
      <c r="C326" s="3">
        <v>44737</v>
      </c>
      <c r="D326" s="1" t="s">
        <v>900</v>
      </c>
      <c r="E326" s="1" t="s">
        <v>898</v>
      </c>
      <c r="F326" s="1">
        <v>130</v>
      </c>
      <c r="G326" s="1" t="s">
        <v>2</v>
      </c>
      <c r="H326" s="4">
        <v>4</v>
      </c>
      <c r="I326" s="5">
        <v>0.66059053266706258</v>
      </c>
      <c r="J326">
        <f>Table_3[[#This Row],[Price of One Product]]*Table_3[[#This Row],[No of Products in one Sale]]*(1-Table_3[[#This Row],[Discount]])</f>
        <v>176.49292301312747</v>
      </c>
      <c r="O326">
        <v>176.49292301312747</v>
      </c>
      <c r="P326">
        <v>0.66059053266706258</v>
      </c>
    </row>
    <row r="327" spans="1:16" ht="14.25" customHeight="1">
      <c r="A327" s="1" t="s">
        <v>412</v>
      </c>
      <c r="B327" s="1" t="s">
        <v>886</v>
      </c>
      <c r="C327" s="3">
        <v>44757</v>
      </c>
      <c r="D327" s="1" t="s">
        <v>895</v>
      </c>
      <c r="E327" s="1" t="s">
        <v>898</v>
      </c>
      <c r="F327" s="1">
        <v>72</v>
      </c>
      <c r="G327" s="1" t="s">
        <v>3</v>
      </c>
      <c r="H327" s="4">
        <v>8</v>
      </c>
      <c r="I327" s="5">
        <v>0.89615601403703116</v>
      </c>
      <c r="J327">
        <f>Table_3[[#This Row],[Price of One Product]]*Table_3[[#This Row],[No of Products in one Sale]]*(1-Table_3[[#This Row],[Discount]])</f>
        <v>59.814135914670054</v>
      </c>
      <c r="O327">
        <v>59.814135914670054</v>
      </c>
      <c r="P327">
        <v>0.89615601403703116</v>
      </c>
    </row>
    <row r="328" spans="1:16" ht="14.25" customHeight="1">
      <c r="A328" s="1" t="s">
        <v>413</v>
      </c>
      <c r="B328" s="1" t="s">
        <v>883</v>
      </c>
      <c r="C328" s="3">
        <v>44745</v>
      </c>
      <c r="D328" s="1" t="s">
        <v>897</v>
      </c>
      <c r="E328" s="1" t="s">
        <v>896</v>
      </c>
      <c r="F328" s="1">
        <v>65</v>
      </c>
      <c r="G328" s="1" t="s">
        <v>1</v>
      </c>
      <c r="H328" s="4">
        <v>8</v>
      </c>
      <c r="I328" s="5">
        <v>0.133950017527805</v>
      </c>
      <c r="J328">
        <f>Table_3[[#This Row],[Price of One Product]]*Table_3[[#This Row],[No of Products in one Sale]]*(1-Table_3[[#This Row],[Discount]])</f>
        <v>450.34599088554143</v>
      </c>
      <c r="O328">
        <v>450.34599088554143</v>
      </c>
      <c r="P328">
        <v>0.133950017527805</v>
      </c>
    </row>
    <row r="329" spans="1:16" ht="14.25" customHeight="1">
      <c r="A329" s="1" t="s">
        <v>414</v>
      </c>
      <c r="B329" s="1" t="s">
        <v>884</v>
      </c>
      <c r="C329" s="3">
        <v>44760</v>
      </c>
      <c r="D329" s="1" t="s">
        <v>899</v>
      </c>
      <c r="E329" s="1" t="s">
        <v>898</v>
      </c>
      <c r="F329" s="1">
        <v>250</v>
      </c>
      <c r="G329" s="1" t="s">
        <v>2</v>
      </c>
      <c r="H329" s="4">
        <v>4</v>
      </c>
      <c r="I329" s="5">
        <v>0.3823797297998468</v>
      </c>
      <c r="J329">
        <f>Table_3[[#This Row],[Price of One Product]]*Table_3[[#This Row],[No of Products in one Sale]]*(1-Table_3[[#This Row],[Discount]])</f>
        <v>617.62027020015319</v>
      </c>
      <c r="O329">
        <v>617.62027020015319</v>
      </c>
      <c r="P329">
        <v>0.3823797297998468</v>
      </c>
    </row>
    <row r="330" spans="1:16" ht="14.25" customHeight="1">
      <c r="A330" s="1" t="s">
        <v>415</v>
      </c>
      <c r="B330" s="1" t="s">
        <v>885</v>
      </c>
      <c r="C330" s="3">
        <v>44750</v>
      </c>
      <c r="D330" s="1" t="s">
        <v>900</v>
      </c>
      <c r="E330" s="1" t="s">
        <v>896</v>
      </c>
      <c r="F330" s="1">
        <v>130</v>
      </c>
      <c r="G330" s="1" t="s">
        <v>3</v>
      </c>
      <c r="H330" s="4">
        <v>2</v>
      </c>
      <c r="I330" s="5">
        <v>0.15073825601342095</v>
      </c>
      <c r="J330">
        <f>Table_3[[#This Row],[Price of One Product]]*Table_3[[#This Row],[No of Products in one Sale]]*(1-Table_3[[#This Row],[Discount]])</f>
        <v>220.80805343651056</v>
      </c>
      <c r="O330">
        <v>220.80805343651056</v>
      </c>
      <c r="P330">
        <v>0.15073825601342095</v>
      </c>
    </row>
    <row r="331" spans="1:16" ht="14.25" customHeight="1">
      <c r="A331" s="1" t="s">
        <v>416</v>
      </c>
      <c r="B331" s="1" t="s">
        <v>886</v>
      </c>
      <c r="C331" s="3">
        <v>44742</v>
      </c>
      <c r="D331" s="1" t="s">
        <v>901</v>
      </c>
      <c r="E331" s="1" t="s">
        <v>898</v>
      </c>
      <c r="F331" s="1">
        <v>60</v>
      </c>
      <c r="G331" s="1" t="s">
        <v>1</v>
      </c>
      <c r="H331" s="4">
        <v>10</v>
      </c>
      <c r="I331" s="5">
        <v>0.96395128247903139</v>
      </c>
      <c r="J331">
        <f>Table_3[[#This Row],[Price of One Product]]*Table_3[[#This Row],[No of Products in one Sale]]*(1-Table_3[[#This Row],[Discount]])</f>
        <v>21.629230512581167</v>
      </c>
      <c r="O331">
        <v>21.629230512581167</v>
      </c>
      <c r="P331">
        <v>0.96395128247903139</v>
      </c>
    </row>
    <row r="332" spans="1:16" ht="14.25" customHeight="1">
      <c r="A332" s="1" t="s">
        <v>417</v>
      </c>
      <c r="B332" s="1" t="s">
        <v>887</v>
      </c>
      <c r="C332" s="3">
        <v>44754</v>
      </c>
      <c r="D332" s="1" t="s">
        <v>895</v>
      </c>
      <c r="E332" s="1" t="s">
        <v>896</v>
      </c>
      <c r="F332" s="1">
        <v>72</v>
      </c>
      <c r="G332" s="1" t="s">
        <v>2</v>
      </c>
      <c r="H332" s="4">
        <v>5</v>
      </c>
      <c r="I332" s="5">
        <v>0.93894083705684528</v>
      </c>
      <c r="J332">
        <f>Table_3[[#This Row],[Price of One Product]]*Table_3[[#This Row],[No of Products in one Sale]]*(1-Table_3[[#This Row],[Discount]])</f>
        <v>21.9812986595357</v>
      </c>
      <c r="O332">
        <v>21.9812986595357</v>
      </c>
      <c r="P332">
        <v>0.93894083705684528</v>
      </c>
    </row>
    <row r="333" spans="1:16" ht="14.25" customHeight="1">
      <c r="A333" s="1" t="s">
        <v>418</v>
      </c>
      <c r="B333" s="1" t="s">
        <v>883</v>
      </c>
      <c r="C333" s="3">
        <v>44746</v>
      </c>
      <c r="D333" s="1" t="s">
        <v>897</v>
      </c>
      <c r="E333" s="1" t="s">
        <v>898</v>
      </c>
      <c r="F333" s="1">
        <v>65</v>
      </c>
      <c r="G333" s="1" t="s">
        <v>3</v>
      </c>
      <c r="H333" s="4">
        <v>7</v>
      </c>
      <c r="I333" s="5">
        <v>0.90335270578489546</v>
      </c>
      <c r="J333">
        <f>Table_3[[#This Row],[Price of One Product]]*Table_3[[#This Row],[No of Products in one Sale]]*(1-Table_3[[#This Row],[Discount]])</f>
        <v>43.974518867872568</v>
      </c>
      <c r="O333">
        <v>43.974518867872568</v>
      </c>
      <c r="P333">
        <v>0.90335270578489546</v>
      </c>
    </row>
    <row r="334" spans="1:16" ht="14.25" customHeight="1">
      <c r="A334" s="1" t="s">
        <v>419</v>
      </c>
      <c r="B334" s="1" t="s">
        <v>884</v>
      </c>
      <c r="C334" s="3">
        <v>44752</v>
      </c>
      <c r="D334" s="1" t="s">
        <v>899</v>
      </c>
      <c r="E334" s="1" t="s">
        <v>896</v>
      </c>
      <c r="F334" s="1">
        <v>250</v>
      </c>
      <c r="G334" s="1" t="s">
        <v>1</v>
      </c>
      <c r="H334" s="4">
        <v>2</v>
      </c>
      <c r="I334" s="5">
        <v>0.62209777321995885</v>
      </c>
      <c r="J334">
        <f>Table_3[[#This Row],[Price of One Product]]*Table_3[[#This Row],[No of Products in one Sale]]*(1-Table_3[[#This Row],[Discount]])</f>
        <v>188.95111339002057</v>
      </c>
      <c r="O334">
        <v>188.95111339002057</v>
      </c>
      <c r="P334">
        <v>0.62209777321995885</v>
      </c>
    </row>
    <row r="335" spans="1:16" ht="14.25" customHeight="1">
      <c r="A335" s="1" t="s">
        <v>420</v>
      </c>
      <c r="B335" s="1" t="s">
        <v>885</v>
      </c>
      <c r="C335" s="3">
        <v>44725</v>
      </c>
      <c r="D335" s="1" t="s">
        <v>900</v>
      </c>
      <c r="E335" s="1" t="s">
        <v>898</v>
      </c>
      <c r="F335" s="1">
        <v>130</v>
      </c>
      <c r="G335" s="1" t="s">
        <v>2</v>
      </c>
      <c r="H335" s="4">
        <v>5</v>
      </c>
      <c r="I335" s="5">
        <v>6.1676790443396468E-2</v>
      </c>
      <c r="J335">
        <f>Table_3[[#This Row],[Price of One Product]]*Table_3[[#This Row],[No of Products in one Sale]]*(1-Table_3[[#This Row],[Discount]])</f>
        <v>609.9100862117923</v>
      </c>
      <c r="O335">
        <v>609.9100862117923</v>
      </c>
      <c r="P335">
        <v>6.1676790443396468E-2</v>
      </c>
    </row>
    <row r="336" spans="1:16" ht="14.25" customHeight="1">
      <c r="A336" s="1" t="s">
        <v>421</v>
      </c>
      <c r="B336" s="1" t="s">
        <v>886</v>
      </c>
      <c r="C336" s="3">
        <v>44734</v>
      </c>
      <c r="D336" s="1" t="s">
        <v>895</v>
      </c>
      <c r="E336" s="1" t="s">
        <v>896</v>
      </c>
      <c r="F336" s="1">
        <v>72</v>
      </c>
      <c r="G336" s="1" t="s">
        <v>3</v>
      </c>
      <c r="H336" s="4">
        <v>12</v>
      </c>
      <c r="I336" s="5">
        <v>0.49213521317421138</v>
      </c>
      <c r="J336">
        <f>Table_3[[#This Row],[Price of One Product]]*Table_3[[#This Row],[No of Products in one Sale]]*(1-Table_3[[#This Row],[Discount]])</f>
        <v>438.79517581748138</v>
      </c>
      <c r="O336">
        <v>438.79517581748138</v>
      </c>
      <c r="P336">
        <v>0.49213521317421138</v>
      </c>
    </row>
    <row r="337" spans="1:16" ht="14.25" customHeight="1">
      <c r="A337" s="1" t="s">
        <v>422</v>
      </c>
      <c r="B337" s="1" t="s">
        <v>883</v>
      </c>
      <c r="C337" s="3">
        <v>44761</v>
      </c>
      <c r="D337" s="1" t="s">
        <v>897</v>
      </c>
      <c r="E337" s="1" t="s">
        <v>898</v>
      </c>
      <c r="F337" s="1">
        <v>65</v>
      </c>
      <c r="G337" s="1" t="s">
        <v>1</v>
      </c>
      <c r="H337" s="4">
        <v>9</v>
      </c>
      <c r="I337" s="5">
        <v>0.69552711985994919</v>
      </c>
      <c r="J337">
        <f>Table_3[[#This Row],[Price of One Product]]*Table_3[[#This Row],[No of Products in one Sale]]*(1-Table_3[[#This Row],[Discount]])</f>
        <v>178.11663488192971</v>
      </c>
      <c r="O337">
        <v>178.11663488192971</v>
      </c>
      <c r="P337">
        <v>0.69552711985994919</v>
      </c>
    </row>
    <row r="338" spans="1:16" ht="14.25" customHeight="1">
      <c r="A338" s="1" t="s">
        <v>423</v>
      </c>
      <c r="B338" s="1" t="s">
        <v>884</v>
      </c>
      <c r="C338" s="3">
        <v>44735</v>
      </c>
      <c r="D338" s="1" t="s">
        <v>899</v>
      </c>
      <c r="E338" s="1" t="s">
        <v>896</v>
      </c>
      <c r="F338" s="1">
        <v>250</v>
      </c>
      <c r="G338" s="1" t="s">
        <v>2</v>
      </c>
      <c r="H338" s="4">
        <v>4</v>
      </c>
      <c r="I338" s="5">
        <v>0.54528907278354111</v>
      </c>
      <c r="J338">
        <f>Table_3[[#This Row],[Price of One Product]]*Table_3[[#This Row],[No of Products in one Sale]]*(1-Table_3[[#This Row],[Discount]])</f>
        <v>454.71092721645891</v>
      </c>
      <c r="O338">
        <v>454.71092721645891</v>
      </c>
      <c r="P338">
        <v>0.54528907278354111</v>
      </c>
    </row>
    <row r="339" spans="1:16" ht="14.25" customHeight="1">
      <c r="A339" s="1" t="s">
        <v>424</v>
      </c>
      <c r="B339" s="1" t="s">
        <v>885</v>
      </c>
      <c r="C339" s="3">
        <v>44753</v>
      </c>
      <c r="D339" s="1" t="s">
        <v>900</v>
      </c>
      <c r="E339" s="1" t="s">
        <v>898</v>
      </c>
      <c r="F339" s="1">
        <v>130</v>
      </c>
      <c r="G339" s="1" t="s">
        <v>3</v>
      </c>
      <c r="H339" s="4">
        <v>4</v>
      </c>
      <c r="I339" s="5">
        <v>0.35199536538224718</v>
      </c>
      <c r="J339">
        <f>Table_3[[#This Row],[Price of One Product]]*Table_3[[#This Row],[No of Products in one Sale]]*(1-Table_3[[#This Row],[Discount]])</f>
        <v>336.96241000123149</v>
      </c>
      <c r="O339">
        <v>336.96241000123149</v>
      </c>
      <c r="P339">
        <v>0.35199536538224718</v>
      </c>
    </row>
    <row r="340" spans="1:16" ht="14.25" customHeight="1">
      <c r="A340" s="1" t="s">
        <v>425</v>
      </c>
      <c r="B340" s="1" t="s">
        <v>886</v>
      </c>
      <c r="C340" s="3">
        <v>44732</v>
      </c>
      <c r="D340" s="1" t="s">
        <v>901</v>
      </c>
      <c r="E340" s="1" t="s">
        <v>896</v>
      </c>
      <c r="F340" s="1">
        <v>60</v>
      </c>
      <c r="G340" s="1" t="s">
        <v>1</v>
      </c>
      <c r="H340" s="4">
        <v>6</v>
      </c>
      <c r="I340" s="5">
        <v>6.0292533629099143E-2</v>
      </c>
      <c r="J340">
        <f>Table_3[[#This Row],[Price of One Product]]*Table_3[[#This Row],[No of Products in one Sale]]*(1-Table_3[[#This Row],[Discount]])</f>
        <v>338.29468789352433</v>
      </c>
      <c r="O340">
        <v>338.29468789352433</v>
      </c>
      <c r="P340">
        <v>6.0292533629099143E-2</v>
      </c>
    </row>
    <row r="341" spans="1:16" ht="14.25" customHeight="1">
      <c r="A341" s="1" t="s">
        <v>426</v>
      </c>
      <c r="B341" s="1" t="s">
        <v>887</v>
      </c>
      <c r="C341" s="3">
        <v>44748</v>
      </c>
      <c r="D341" s="1" t="s">
        <v>902</v>
      </c>
      <c r="E341" s="1" t="s">
        <v>898</v>
      </c>
      <c r="F341" s="1">
        <v>95</v>
      </c>
      <c r="G341" s="1" t="s">
        <v>2</v>
      </c>
      <c r="H341" s="4">
        <v>7</v>
      </c>
      <c r="I341" s="5">
        <v>4.1434457281700587E-2</v>
      </c>
      <c r="J341">
        <f>Table_3[[#This Row],[Price of One Product]]*Table_3[[#This Row],[No of Products in one Sale]]*(1-Table_3[[#This Row],[Discount]])</f>
        <v>637.44608590766916</v>
      </c>
      <c r="O341">
        <v>637.44608590766916</v>
      </c>
      <c r="P341">
        <v>4.1434457281700587E-2</v>
      </c>
    </row>
    <row r="342" spans="1:16" ht="14.25" customHeight="1">
      <c r="A342" s="1" t="s">
        <v>427</v>
      </c>
      <c r="B342" s="1" t="s">
        <v>888</v>
      </c>
      <c r="C342" s="3">
        <v>44731</v>
      </c>
      <c r="D342" s="1" t="s">
        <v>895</v>
      </c>
      <c r="E342" s="1" t="s">
        <v>896</v>
      </c>
      <c r="F342" s="1">
        <v>72</v>
      </c>
      <c r="G342" s="1" t="s">
        <v>3</v>
      </c>
      <c r="H342" s="4">
        <v>3</v>
      </c>
      <c r="I342" s="5">
        <v>0.29516274884520199</v>
      </c>
      <c r="J342">
        <f>Table_3[[#This Row],[Price of One Product]]*Table_3[[#This Row],[No of Products in one Sale]]*(1-Table_3[[#This Row],[Discount]])</f>
        <v>152.24484624943636</v>
      </c>
      <c r="O342">
        <v>152.24484624943636</v>
      </c>
      <c r="P342">
        <v>0.29516274884520199</v>
      </c>
    </row>
    <row r="343" spans="1:16" ht="14.25" customHeight="1">
      <c r="A343" s="1" t="s">
        <v>428</v>
      </c>
      <c r="B343" s="1" t="s">
        <v>883</v>
      </c>
      <c r="C343" s="3">
        <v>44725</v>
      </c>
      <c r="D343" s="1" t="s">
        <v>897</v>
      </c>
      <c r="E343" s="1" t="s">
        <v>898</v>
      </c>
      <c r="F343" s="1">
        <v>65</v>
      </c>
      <c r="G343" s="1" t="s">
        <v>1</v>
      </c>
      <c r="H343" s="4">
        <v>4</v>
      </c>
      <c r="I343" s="5">
        <v>0.68154294540119276</v>
      </c>
      <c r="J343">
        <f>Table_3[[#This Row],[Price of One Product]]*Table_3[[#This Row],[No of Products in one Sale]]*(1-Table_3[[#This Row],[Discount]])</f>
        <v>82.798834195689878</v>
      </c>
      <c r="O343">
        <v>82.798834195689878</v>
      </c>
      <c r="P343">
        <v>0.68154294540119276</v>
      </c>
    </row>
    <row r="344" spans="1:16" ht="14.25" customHeight="1">
      <c r="A344" s="1" t="s">
        <v>429</v>
      </c>
      <c r="B344" s="1" t="s">
        <v>884</v>
      </c>
      <c r="C344" s="3">
        <v>44753</v>
      </c>
      <c r="D344" s="1" t="s">
        <v>899</v>
      </c>
      <c r="E344" s="1" t="s">
        <v>896</v>
      </c>
      <c r="F344" s="1">
        <v>250</v>
      </c>
      <c r="G344" s="1" t="s">
        <v>2</v>
      </c>
      <c r="H344" s="4">
        <v>1</v>
      </c>
      <c r="I344" s="5">
        <v>0.52632346520297391</v>
      </c>
      <c r="J344">
        <f>Table_3[[#This Row],[Price of One Product]]*Table_3[[#This Row],[No of Products in one Sale]]*(1-Table_3[[#This Row],[Discount]])</f>
        <v>118.41913369925652</v>
      </c>
      <c r="O344">
        <v>118.41913369925652</v>
      </c>
      <c r="P344">
        <v>0.52632346520297391</v>
      </c>
    </row>
    <row r="345" spans="1:16" ht="14.25" customHeight="1">
      <c r="A345" s="1" t="s">
        <v>430</v>
      </c>
      <c r="B345" s="1" t="s">
        <v>885</v>
      </c>
      <c r="C345" s="3">
        <v>44738</v>
      </c>
      <c r="D345" s="1" t="s">
        <v>900</v>
      </c>
      <c r="E345" s="1" t="s">
        <v>898</v>
      </c>
      <c r="F345" s="1">
        <v>130</v>
      </c>
      <c r="G345" s="1" t="s">
        <v>3</v>
      </c>
      <c r="H345" s="4">
        <v>6</v>
      </c>
      <c r="I345" s="5">
        <v>5.4437687903536869E-2</v>
      </c>
      <c r="J345">
        <f>Table_3[[#This Row],[Price of One Product]]*Table_3[[#This Row],[No of Products in one Sale]]*(1-Table_3[[#This Row],[Discount]])</f>
        <v>737.53860343524127</v>
      </c>
      <c r="O345">
        <v>737.53860343524127</v>
      </c>
      <c r="P345">
        <v>5.4437687903536869E-2</v>
      </c>
    </row>
    <row r="346" spans="1:16" ht="14.25" customHeight="1">
      <c r="A346" s="1" t="s">
        <v>431</v>
      </c>
      <c r="B346" s="1" t="s">
        <v>886</v>
      </c>
      <c r="C346" s="3">
        <v>44762</v>
      </c>
      <c r="D346" s="1" t="s">
        <v>895</v>
      </c>
      <c r="E346" s="1" t="s">
        <v>898</v>
      </c>
      <c r="F346" s="1">
        <v>72</v>
      </c>
      <c r="G346" s="1" t="s">
        <v>1</v>
      </c>
      <c r="H346" s="4">
        <v>10</v>
      </c>
      <c r="I346" s="5">
        <v>0.95350738842174898</v>
      </c>
      <c r="J346">
        <f>Table_3[[#This Row],[Price of One Product]]*Table_3[[#This Row],[No of Products in one Sale]]*(1-Table_3[[#This Row],[Discount]])</f>
        <v>33.474680336340732</v>
      </c>
      <c r="O346">
        <v>33.474680336340732</v>
      </c>
      <c r="P346">
        <v>0.95350738842174898</v>
      </c>
    </row>
    <row r="347" spans="1:16" ht="14.25" customHeight="1">
      <c r="A347" s="1" t="s">
        <v>432</v>
      </c>
      <c r="B347" s="1" t="s">
        <v>883</v>
      </c>
      <c r="C347" s="3">
        <v>44756</v>
      </c>
      <c r="D347" s="1" t="s">
        <v>897</v>
      </c>
      <c r="E347" s="1" t="s">
        <v>898</v>
      </c>
      <c r="F347" s="1">
        <v>65</v>
      </c>
      <c r="G347" s="1" t="s">
        <v>2</v>
      </c>
      <c r="H347" s="4">
        <v>4</v>
      </c>
      <c r="I347" s="5">
        <v>0.46726651348176196</v>
      </c>
      <c r="J347">
        <f>Table_3[[#This Row],[Price of One Product]]*Table_3[[#This Row],[No of Products in one Sale]]*(1-Table_3[[#This Row],[Discount]])</f>
        <v>138.5107064947419</v>
      </c>
      <c r="O347">
        <v>138.5107064947419</v>
      </c>
      <c r="P347">
        <v>0.46726651348176196</v>
      </c>
    </row>
    <row r="348" spans="1:16" ht="14.25" customHeight="1">
      <c r="A348" s="1" t="s">
        <v>433</v>
      </c>
      <c r="B348" s="1" t="s">
        <v>884</v>
      </c>
      <c r="C348" s="3">
        <v>44744</v>
      </c>
      <c r="D348" s="1" t="s">
        <v>899</v>
      </c>
      <c r="E348" s="1" t="s">
        <v>898</v>
      </c>
      <c r="F348" s="1">
        <v>250</v>
      </c>
      <c r="G348" s="1" t="s">
        <v>3</v>
      </c>
      <c r="H348" s="4">
        <v>2</v>
      </c>
      <c r="I348" s="5">
        <v>0.6015089815611987</v>
      </c>
      <c r="J348">
        <f>Table_3[[#This Row],[Price of One Product]]*Table_3[[#This Row],[No of Products in one Sale]]*(1-Table_3[[#This Row],[Discount]])</f>
        <v>199.24550921940065</v>
      </c>
      <c r="O348">
        <v>199.24550921940065</v>
      </c>
      <c r="P348">
        <v>0.6015089815611987</v>
      </c>
    </row>
    <row r="349" spans="1:16" ht="14.25" customHeight="1">
      <c r="A349" s="1" t="s">
        <v>434</v>
      </c>
      <c r="B349" s="1" t="s">
        <v>885</v>
      </c>
      <c r="C349" s="3">
        <v>44753</v>
      </c>
      <c r="D349" s="1" t="s">
        <v>900</v>
      </c>
      <c r="E349" s="1" t="s">
        <v>898</v>
      </c>
      <c r="F349" s="1">
        <v>130</v>
      </c>
      <c r="G349" s="1" t="s">
        <v>1</v>
      </c>
      <c r="H349" s="4">
        <v>7</v>
      </c>
      <c r="I349" s="5">
        <v>0.17158764742187849</v>
      </c>
      <c r="J349">
        <f>Table_3[[#This Row],[Price of One Product]]*Table_3[[#This Row],[No of Products in one Sale]]*(1-Table_3[[#This Row],[Discount]])</f>
        <v>753.85524084609062</v>
      </c>
      <c r="O349">
        <v>753.85524084609062</v>
      </c>
      <c r="P349">
        <v>0.17158764742187849</v>
      </c>
    </row>
    <row r="350" spans="1:16" ht="14.25" customHeight="1">
      <c r="A350" s="1" t="s">
        <v>435</v>
      </c>
      <c r="B350" s="1" t="s">
        <v>886</v>
      </c>
      <c r="C350" s="3">
        <v>44762</v>
      </c>
      <c r="D350" s="1" t="s">
        <v>901</v>
      </c>
      <c r="E350" s="1" t="s">
        <v>896</v>
      </c>
      <c r="F350" s="1">
        <v>60</v>
      </c>
      <c r="G350" s="1" t="s">
        <v>2</v>
      </c>
      <c r="H350" s="4">
        <v>11</v>
      </c>
      <c r="I350" s="5">
        <v>0.44731050880102885</v>
      </c>
      <c r="J350">
        <f>Table_3[[#This Row],[Price of One Product]]*Table_3[[#This Row],[No of Products in one Sale]]*(1-Table_3[[#This Row],[Discount]])</f>
        <v>364.77506419132095</v>
      </c>
      <c r="O350">
        <v>364.77506419132095</v>
      </c>
      <c r="P350">
        <v>0.44731050880102885</v>
      </c>
    </row>
    <row r="351" spans="1:16" ht="14.25" customHeight="1">
      <c r="A351" s="1" t="s">
        <v>436</v>
      </c>
      <c r="B351" s="1" t="s">
        <v>887</v>
      </c>
      <c r="C351" s="3">
        <v>44740</v>
      </c>
      <c r="D351" s="1" t="s">
        <v>895</v>
      </c>
      <c r="E351" s="1" t="s">
        <v>898</v>
      </c>
      <c r="F351" s="1">
        <v>72</v>
      </c>
      <c r="G351" s="1" t="s">
        <v>3</v>
      </c>
      <c r="H351" s="4">
        <v>8</v>
      </c>
      <c r="I351" s="5">
        <v>0.54246953050958213</v>
      </c>
      <c r="J351">
        <f>Table_3[[#This Row],[Price of One Product]]*Table_3[[#This Row],[No of Products in one Sale]]*(1-Table_3[[#This Row],[Discount]])</f>
        <v>263.53755042648072</v>
      </c>
      <c r="O351">
        <v>263.53755042648072</v>
      </c>
      <c r="P351">
        <v>0.54246953050958213</v>
      </c>
    </row>
    <row r="352" spans="1:16" ht="14.25" customHeight="1">
      <c r="A352" s="1" t="s">
        <v>437</v>
      </c>
      <c r="B352" s="1" t="s">
        <v>883</v>
      </c>
      <c r="C352" s="3">
        <v>44729</v>
      </c>
      <c r="D352" s="1" t="s">
        <v>897</v>
      </c>
      <c r="E352" s="1" t="s">
        <v>896</v>
      </c>
      <c r="F352" s="1">
        <v>65</v>
      </c>
      <c r="G352" s="1" t="s">
        <v>1</v>
      </c>
      <c r="H352" s="4">
        <v>11</v>
      </c>
      <c r="I352" s="5">
        <v>0.50484804947298401</v>
      </c>
      <c r="J352">
        <f>Table_3[[#This Row],[Price of One Product]]*Table_3[[#This Row],[No of Products in one Sale]]*(1-Table_3[[#This Row],[Discount]])</f>
        <v>354.03364462681645</v>
      </c>
      <c r="O352">
        <v>354.03364462681645</v>
      </c>
      <c r="P352">
        <v>0.50484804947298401</v>
      </c>
    </row>
    <row r="353" spans="1:16" ht="14.25" customHeight="1">
      <c r="A353" s="1" t="s">
        <v>438</v>
      </c>
      <c r="B353" s="1" t="s">
        <v>884</v>
      </c>
      <c r="C353" s="3">
        <v>44727</v>
      </c>
      <c r="D353" s="1" t="s">
        <v>899</v>
      </c>
      <c r="E353" s="1" t="s">
        <v>898</v>
      </c>
      <c r="F353" s="1">
        <v>250</v>
      </c>
      <c r="G353" s="1" t="s">
        <v>2</v>
      </c>
      <c r="H353" s="4">
        <v>4</v>
      </c>
      <c r="I353" s="5">
        <v>9.2316747421295475E-2</v>
      </c>
      <c r="J353">
        <f>Table_3[[#This Row],[Price of One Product]]*Table_3[[#This Row],[No of Products in one Sale]]*(1-Table_3[[#This Row],[Discount]])</f>
        <v>907.68325257870447</v>
      </c>
      <c r="O353">
        <v>907.68325257870447</v>
      </c>
      <c r="P353">
        <v>9.2316747421295475E-2</v>
      </c>
    </row>
    <row r="354" spans="1:16" ht="14.25" customHeight="1">
      <c r="A354" s="1" t="s">
        <v>439</v>
      </c>
      <c r="B354" s="1" t="s">
        <v>885</v>
      </c>
      <c r="C354" s="3">
        <v>44734</v>
      </c>
      <c r="D354" s="1" t="s">
        <v>900</v>
      </c>
      <c r="E354" s="1" t="s">
        <v>896</v>
      </c>
      <c r="F354" s="1">
        <v>130</v>
      </c>
      <c r="G354" s="1" t="s">
        <v>3</v>
      </c>
      <c r="H354" s="4">
        <v>7</v>
      </c>
      <c r="I354" s="5">
        <v>0.34907542272706216</v>
      </c>
      <c r="J354">
        <f>Table_3[[#This Row],[Price of One Product]]*Table_3[[#This Row],[No of Products in one Sale]]*(1-Table_3[[#This Row],[Discount]])</f>
        <v>592.34136531837339</v>
      </c>
      <c r="O354">
        <v>592.34136531837339</v>
      </c>
      <c r="P354">
        <v>0.34907542272706216</v>
      </c>
    </row>
    <row r="355" spans="1:16" ht="14.25" customHeight="1">
      <c r="A355" s="1" t="s">
        <v>440</v>
      </c>
      <c r="B355" s="1" t="s">
        <v>886</v>
      </c>
      <c r="C355" s="3">
        <v>44744</v>
      </c>
      <c r="D355" s="1" t="s">
        <v>895</v>
      </c>
      <c r="E355" s="1" t="s">
        <v>898</v>
      </c>
      <c r="F355" s="1">
        <v>72</v>
      </c>
      <c r="G355" s="1" t="s">
        <v>1</v>
      </c>
      <c r="H355" s="4">
        <v>4</v>
      </c>
      <c r="I355" s="5">
        <v>0.90031823580716619</v>
      </c>
      <c r="J355">
        <f>Table_3[[#This Row],[Price of One Product]]*Table_3[[#This Row],[No of Products in one Sale]]*(1-Table_3[[#This Row],[Discount]])</f>
        <v>28.708348087536137</v>
      </c>
      <c r="O355">
        <v>28.708348087536137</v>
      </c>
      <c r="P355">
        <v>0.90031823580716619</v>
      </c>
    </row>
    <row r="356" spans="1:16" ht="14.25" customHeight="1">
      <c r="A356" s="1" t="s">
        <v>441</v>
      </c>
      <c r="B356" s="1" t="s">
        <v>883</v>
      </c>
      <c r="C356" s="3">
        <v>44737</v>
      </c>
      <c r="D356" s="1" t="s">
        <v>897</v>
      </c>
      <c r="E356" s="1" t="s">
        <v>896</v>
      </c>
      <c r="F356" s="1">
        <v>65</v>
      </c>
      <c r="G356" s="1" t="s">
        <v>2</v>
      </c>
      <c r="H356" s="4">
        <v>5</v>
      </c>
      <c r="I356" s="5">
        <v>0.18050692795462731</v>
      </c>
      <c r="J356">
        <f>Table_3[[#This Row],[Price of One Product]]*Table_3[[#This Row],[No of Products in one Sale]]*(1-Table_3[[#This Row],[Discount]])</f>
        <v>266.3352484147461</v>
      </c>
      <c r="O356">
        <v>266.3352484147461</v>
      </c>
      <c r="P356">
        <v>0.18050692795462731</v>
      </c>
    </row>
    <row r="357" spans="1:16" ht="14.25" customHeight="1">
      <c r="A357" s="1" t="s">
        <v>442</v>
      </c>
      <c r="B357" s="1" t="s">
        <v>884</v>
      </c>
      <c r="C357" s="3">
        <v>44752</v>
      </c>
      <c r="D357" s="1" t="s">
        <v>899</v>
      </c>
      <c r="E357" s="1" t="s">
        <v>898</v>
      </c>
      <c r="F357" s="1">
        <v>250</v>
      </c>
      <c r="G357" s="1" t="s">
        <v>3</v>
      </c>
      <c r="H357" s="4">
        <v>1</v>
      </c>
      <c r="I357" s="5">
        <v>2.5445092820001292E-2</v>
      </c>
      <c r="J357">
        <f>Table_3[[#This Row],[Price of One Product]]*Table_3[[#This Row],[No of Products in one Sale]]*(1-Table_3[[#This Row],[Discount]])</f>
        <v>243.63872679499968</v>
      </c>
      <c r="O357">
        <v>243.63872679499968</v>
      </c>
      <c r="P357">
        <v>2.5445092820001292E-2</v>
      </c>
    </row>
    <row r="358" spans="1:16" ht="14.25" customHeight="1">
      <c r="A358" s="1" t="s">
        <v>443</v>
      </c>
      <c r="B358" s="1" t="s">
        <v>885</v>
      </c>
      <c r="C358" s="3">
        <v>44736</v>
      </c>
      <c r="D358" s="1" t="s">
        <v>900</v>
      </c>
      <c r="E358" s="1" t="s">
        <v>896</v>
      </c>
      <c r="F358" s="1">
        <v>130</v>
      </c>
      <c r="G358" s="1" t="s">
        <v>1</v>
      </c>
      <c r="H358" s="4">
        <v>2</v>
      </c>
      <c r="I358" s="5">
        <v>0.79643741142705549</v>
      </c>
      <c r="J358">
        <f>Table_3[[#This Row],[Price of One Product]]*Table_3[[#This Row],[No of Products in one Sale]]*(1-Table_3[[#This Row],[Discount]])</f>
        <v>52.926273028965575</v>
      </c>
      <c r="O358">
        <v>52.926273028965575</v>
      </c>
      <c r="P358">
        <v>0.79643741142705549</v>
      </c>
    </row>
    <row r="359" spans="1:16" ht="14.25" customHeight="1">
      <c r="A359" s="1" t="s">
        <v>444</v>
      </c>
      <c r="B359" s="1" t="s">
        <v>886</v>
      </c>
      <c r="C359" s="3">
        <v>44752</v>
      </c>
      <c r="D359" s="1" t="s">
        <v>901</v>
      </c>
      <c r="E359" s="1" t="s">
        <v>898</v>
      </c>
      <c r="F359" s="1">
        <v>60</v>
      </c>
      <c r="G359" s="1" t="s">
        <v>2</v>
      </c>
      <c r="H359" s="4">
        <v>14</v>
      </c>
      <c r="I359" s="5">
        <v>0.16077213359827813</v>
      </c>
      <c r="J359">
        <f>Table_3[[#This Row],[Price of One Product]]*Table_3[[#This Row],[No of Products in one Sale]]*(1-Table_3[[#This Row],[Discount]])</f>
        <v>704.95140777744632</v>
      </c>
      <c r="O359">
        <v>704.95140777744632</v>
      </c>
      <c r="P359">
        <v>0.16077213359827813</v>
      </c>
    </row>
    <row r="360" spans="1:16" ht="14.25" customHeight="1">
      <c r="A360" s="1" t="s">
        <v>445</v>
      </c>
      <c r="B360" s="1" t="s">
        <v>887</v>
      </c>
      <c r="C360" s="3">
        <v>44759</v>
      </c>
      <c r="D360" s="1" t="s">
        <v>902</v>
      </c>
      <c r="E360" s="1" t="s">
        <v>896</v>
      </c>
      <c r="F360" s="1">
        <v>95</v>
      </c>
      <c r="G360" s="1" t="s">
        <v>3</v>
      </c>
      <c r="H360" s="4">
        <v>9</v>
      </c>
      <c r="I360" s="5">
        <v>0.24693836978869843</v>
      </c>
      <c r="J360">
        <f>Table_3[[#This Row],[Price of One Product]]*Table_3[[#This Row],[No of Products in one Sale]]*(1-Table_3[[#This Row],[Discount]])</f>
        <v>643.8676938306628</v>
      </c>
      <c r="O360">
        <v>643.8676938306628</v>
      </c>
      <c r="P360">
        <v>0.24693836978869843</v>
      </c>
    </row>
    <row r="361" spans="1:16" ht="14.25" customHeight="1">
      <c r="A361" s="1" t="s">
        <v>446</v>
      </c>
      <c r="B361" s="1" t="s">
        <v>888</v>
      </c>
      <c r="C361" s="3">
        <v>44763</v>
      </c>
      <c r="D361" s="1" t="s">
        <v>895</v>
      </c>
      <c r="E361" s="1" t="s">
        <v>898</v>
      </c>
      <c r="F361" s="1">
        <v>72</v>
      </c>
      <c r="G361" s="1" t="s">
        <v>1</v>
      </c>
      <c r="H361" s="4">
        <v>8</v>
      </c>
      <c r="I361" s="5">
        <v>0.22148207946738752</v>
      </c>
      <c r="J361">
        <f>Table_3[[#This Row],[Price of One Product]]*Table_3[[#This Row],[No of Products in one Sale]]*(1-Table_3[[#This Row],[Discount]])</f>
        <v>448.42632222678481</v>
      </c>
      <c r="O361">
        <v>448.42632222678481</v>
      </c>
      <c r="P361">
        <v>0.22148207946738752</v>
      </c>
    </row>
    <row r="362" spans="1:16" ht="14.25" customHeight="1">
      <c r="A362" s="1" t="s">
        <v>447</v>
      </c>
      <c r="B362" s="1" t="s">
        <v>883</v>
      </c>
      <c r="C362" s="3">
        <v>44763</v>
      </c>
      <c r="D362" s="1" t="s">
        <v>897</v>
      </c>
      <c r="E362" s="1" t="s">
        <v>896</v>
      </c>
      <c r="F362" s="1">
        <v>65</v>
      </c>
      <c r="G362" s="1" t="s">
        <v>2</v>
      </c>
      <c r="H362" s="4">
        <v>11</v>
      </c>
      <c r="I362" s="5">
        <v>0.71458846230959472</v>
      </c>
      <c r="J362">
        <f>Table_3[[#This Row],[Price of One Product]]*Table_3[[#This Row],[No of Products in one Sale]]*(1-Table_3[[#This Row],[Discount]])</f>
        <v>204.06924944863977</v>
      </c>
      <c r="O362">
        <v>204.06924944863977</v>
      </c>
      <c r="P362">
        <v>0.71458846230959472</v>
      </c>
    </row>
    <row r="363" spans="1:16" ht="14.25" customHeight="1">
      <c r="A363" s="1" t="s">
        <v>448</v>
      </c>
      <c r="B363" s="1" t="s">
        <v>884</v>
      </c>
      <c r="C363" s="3">
        <v>44750</v>
      </c>
      <c r="D363" s="1" t="s">
        <v>899</v>
      </c>
      <c r="E363" s="1" t="s">
        <v>898</v>
      </c>
      <c r="F363" s="1">
        <v>250</v>
      </c>
      <c r="G363" s="1" t="s">
        <v>3</v>
      </c>
      <c r="H363" s="4">
        <v>4</v>
      </c>
      <c r="I363" s="5">
        <v>0.11286694488931481</v>
      </c>
      <c r="J363">
        <f>Table_3[[#This Row],[Price of One Product]]*Table_3[[#This Row],[No of Products in one Sale]]*(1-Table_3[[#This Row],[Discount]])</f>
        <v>887.13305511068518</v>
      </c>
      <c r="O363">
        <v>887.13305511068518</v>
      </c>
      <c r="P363">
        <v>0.11286694488931481</v>
      </c>
    </row>
    <row r="364" spans="1:16" ht="14.25" customHeight="1">
      <c r="A364" s="1" t="s">
        <v>449</v>
      </c>
      <c r="B364" s="1" t="s">
        <v>885</v>
      </c>
      <c r="C364" s="3">
        <v>44751</v>
      </c>
      <c r="D364" s="1" t="s">
        <v>900</v>
      </c>
      <c r="E364" s="1" t="s">
        <v>896</v>
      </c>
      <c r="F364" s="1">
        <v>130</v>
      </c>
      <c r="G364" s="1" t="s">
        <v>1</v>
      </c>
      <c r="H364" s="4">
        <v>6</v>
      </c>
      <c r="I364" s="5">
        <v>6.5283590828819849E-2</v>
      </c>
      <c r="J364">
        <f>Table_3[[#This Row],[Price of One Product]]*Table_3[[#This Row],[No of Products in one Sale]]*(1-Table_3[[#This Row],[Discount]])</f>
        <v>729.07879915352055</v>
      </c>
      <c r="O364">
        <v>729.07879915352055</v>
      </c>
      <c r="P364">
        <v>6.5283590828819849E-2</v>
      </c>
    </row>
    <row r="365" spans="1:16" ht="14.25" customHeight="1">
      <c r="A365" s="1" t="s">
        <v>450</v>
      </c>
      <c r="B365" s="1" t="s">
        <v>886</v>
      </c>
      <c r="C365" s="3">
        <v>44736</v>
      </c>
      <c r="D365" s="1" t="s">
        <v>895</v>
      </c>
      <c r="E365" s="1" t="s">
        <v>898</v>
      </c>
      <c r="F365" s="1">
        <v>72</v>
      </c>
      <c r="G365" s="1" t="s">
        <v>2</v>
      </c>
      <c r="H365" s="4">
        <v>11</v>
      </c>
      <c r="I365" s="5">
        <v>0.46681751998353072</v>
      </c>
      <c r="J365">
        <f>Table_3[[#This Row],[Price of One Product]]*Table_3[[#This Row],[No of Products in one Sale]]*(1-Table_3[[#This Row],[Discount]])</f>
        <v>422.28052417304366</v>
      </c>
      <c r="O365">
        <v>422.28052417304366</v>
      </c>
      <c r="P365">
        <v>0.46681751998353072</v>
      </c>
    </row>
    <row r="366" spans="1:16" ht="14.25" customHeight="1">
      <c r="A366" s="1" t="s">
        <v>451</v>
      </c>
      <c r="B366" s="1" t="s">
        <v>883</v>
      </c>
      <c r="C366" s="3">
        <v>44737</v>
      </c>
      <c r="D366" s="1" t="s">
        <v>897</v>
      </c>
      <c r="E366" s="1" t="s">
        <v>896</v>
      </c>
      <c r="F366" s="1">
        <v>65</v>
      </c>
      <c r="G366" s="1" t="s">
        <v>3</v>
      </c>
      <c r="H366" s="4">
        <v>9</v>
      </c>
      <c r="I366" s="5">
        <v>0.92202770154223668</v>
      </c>
      <c r="J366">
        <f>Table_3[[#This Row],[Price of One Product]]*Table_3[[#This Row],[No of Products in one Sale]]*(1-Table_3[[#This Row],[Discount]])</f>
        <v>45.613794597791546</v>
      </c>
      <c r="O366">
        <v>45.613794597791546</v>
      </c>
      <c r="P366">
        <v>0.92202770154223668</v>
      </c>
    </row>
    <row r="367" spans="1:16" ht="14.25" customHeight="1">
      <c r="A367" s="1" t="s">
        <v>452</v>
      </c>
      <c r="B367" s="1" t="s">
        <v>884</v>
      </c>
      <c r="C367" s="3">
        <v>44744</v>
      </c>
      <c r="D367" s="1" t="s">
        <v>899</v>
      </c>
      <c r="E367" s="1" t="s">
        <v>898</v>
      </c>
      <c r="F367" s="1">
        <v>250</v>
      </c>
      <c r="G367" s="1" t="s">
        <v>1</v>
      </c>
      <c r="H367" s="4">
        <v>2</v>
      </c>
      <c r="I367" s="5">
        <v>0.18840485753727232</v>
      </c>
      <c r="J367">
        <f>Table_3[[#This Row],[Price of One Product]]*Table_3[[#This Row],[No of Products in one Sale]]*(1-Table_3[[#This Row],[Discount]])</f>
        <v>405.79757123136386</v>
      </c>
      <c r="O367">
        <v>405.79757123136386</v>
      </c>
      <c r="P367">
        <v>0.18840485753727232</v>
      </c>
    </row>
    <row r="368" spans="1:16" ht="14.25" customHeight="1">
      <c r="A368" s="1" t="s">
        <v>453</v>
      </c>
      <c r="B368" s="1" t="s">
        <v>885</v>
      </c>
      <c r="C368" s="3">
        <v>44735</v>
      </c>
      <c r="D368" s="1" t="s">
        <v>900</v>
      </c>
      <c r="E368" s="1" t="s">
        <v>898</v>
      </c>
      <c r="F368" s="1">
        <v>130</v>
      </c>
      <c r="G368" s="1" t="s">
        <v>2</v>
      </c>
      <c r="H368" s="4">
        <v>2</v>
      </c>
      <c r="I368" s="5">
        <v>0.27847072137209206</v>
      </c>
      <c r="J368">
        <f>Table_3[[#This Row],[Price of One Product]]*Table_3[[#This Row],[No of Products in one Sale]]*(1-Table_3[[#This Row],[Discount]])</f>
        <v>187.59761244325605</v>
      </c>
      <c r="O368">
        <v>187.59761244325605</v>
      </c>
      <c r="P368">
        <v>0.27847072137209206</v>
      </c>
    </row>
    <row r="369" spans="1:16" ht="14.25" customHeight="1">
      <c r="A369" s="1" t="s">
        <v>454</v>
      </c>
      <c r="B369" s="1" t="s">
        <v>883</v>
      </c>
      <c r="C369" s="3">
        <v>44751</v>
      </c>
      <c r="D369" s="1" t="s">
        <v>895</v>
      </c>
      <c r="E369" s="1" t="s">
        <v>898</v>
      </c>
      <c r="F369" s="1">
        <v>72</v>
      </c>
      <c r="G369" s="1" t="s">
        <v>3</v>
      </c>
      <c r="H369" s="4">
        <v>10</v>
      </c>
      <c r="I369" s="5">
        <v>0.78884251376405168</v>
      </c>
      <c r="J369">
        <f>Table_3[[#This Row],[Price of One Product]]*Table_3[[#This Row],[No of Products in one Sale]]*(1-Table_3[[#This Row],[Discount]])</f>
        <v>152.0333900898828</v>
      </c>
      <c r="O369">
        <v>152.0333900898828</v>
      </c>
      <c r="P369">
        <v>0.78884251376405168</v>
      </c>
    </row>
    <row r="370" spans="1:16" ht="14.25" customHeight="1">
      <c r="A370" s="1" t="s">
        <v>455</v>
      </c>
      <c r="B370" s="1" t="s">
        <v>884</v>
      </c>
      <c r="C370" s="3">
        <v>44726</v>
      </c>
      <c r="D370" s="1" t="s">
        <v>897</v>
      </c>
      <c r="E370" s="1" t="s">
        <v>898</v>
      </c>
      <c r="F370" s="1">
        <v>65</v>
      </c>
      <c r="G370" s="1" t="s">
        <v>3</v>
      </c>
      <c r="H370" s="4">
        <v>5</v>
      </c>
      <c r="I370" s="5">
        <v>0.18299168548896383</v>
      </c>
      <c r="J370">
        <f>Table_3[[#This Row],[Price of One Product]]*Table_3[[#This Row],[No of Products in one Sale]]*(1-Table_3[[#This Row],[Discount]])</f>
        <v>265.52770221608677</v>
      </c>
      <c r="O370">
        <v>265.52770221608677</v>
      </c>
      <c r="P370">
        <v>0.18299168548896383</v>
      </c>
    </row>
    <row r="371" spans="1:16" ht="14.25" customHeight="1">
      <c r="A371" s="1" t="s">
        <v>456</v>
      </c>
      <c r="B371" s="1" t="s">
        <v>885</v>
      </c>
      <c r="C371" s="3">
        <v>44749</v>
      </c>
      <c r="D371" s="1" t="s">
        <v>899</v>
      </c>
      <c r="E371" s="1" t="s">
        <v>898</v>
      </c>
      <c r="F371" s="1">
        <v>250</v>
      </c>
      <c r="G371" s="1" t="s">
        <v>1</v>
      </c>
      <c r="H371" s="4">
        <v>3</v>
      </c>
      <c r="I371" s="5">
        <v>0.20591715888096995</v>
      </c>
      <c r="J371">
        <f>Table_3[[#This Row],[Price of One Product]]*Table_3[[#This Row],[No of Products in one Sale]]*(1-Table_3[[#This Row],[Discount]])</f>
        <v>595.56213083927253</v>
      </c>
      <c r="O371">
        <v>595.56213083927253</v>
      </c>
      <c r="P371">
        <v>0.20591715888096995</v>
      </c>
    </row>
    <row r="372" spans="1:16" ht="14.25" customHeight="1">
      <c r="A372" s="1" t="s">
        <v>457</v>
      </c>
      <c r="B372" s="1" t="s">
        <v>886</v>
      </c>
      <c r="C372" s="3">
        <v>44734</v>
      </c>
      <c r="D372" s="1" t="s">
        <v>900</v>
      </c>
      <c r="E372" s="1" t="s">
        <v>896</v>
      </c>
      <c r="F372" s="1">
        <v>130</v>
      </c>
      <c r="G372" s="1" t="s">
        <v>2</v>
      </c>
      <c r="H372" s="4">
        <v>2</v>
      </c>
      <c r="I372" s="5">
        <v>2.128339836887938E-2</v>
      </c>
      <c r="J372">
        <f>Table_3[[#This Row],[Price of One Product]]*Table_3[[#This Row],[No of Products in one Sale]]*(1-Table_3[[#This Row],[Discount]])</f>
        <v>254.46631642409136</v>
      </c>
      <c r="O372">
        <v>254.46631642409136</v>
      </c>
      <c r="P372">
        <v>2.128339836887938E-2</v>
      </c>
    </row>
    <row r="373" spans="1:16" ht="14.25" customHeight="1">
      <c r="A373" s="1" t="s">
        <v>458</v>
      </c>
      <c r="B373" s="1" t="s">
        <v>883</v>
      </c>
      <c r="C373" s="3">
        <v>44726</v>
      </c>
      <c r="D373" s="1" t="s">
        <v>895</v>
      </c>
      <c r="E373" s="1" t="s">
        <v>898</v>
      </c>
      <c r="F373" s="1">
        <v>72</v>
      </c>
      <c r="G373" s="1" t="s">
        <v>3</v>
      </c>
      <c r="H373" s="4">
        <v>4</v>
      </c>
      <c r="I373" s="5">
        <v>2.2806889019524657E-2</v>
      </c>
      <c r="J373">
        <f>Table_3[[#This Row],[Price of One Product]]*Table_3[[#This Row],[No of Products in one Sale]]*(1-Table_3[[#This Row],[Discount]])</f>
        <v>281.4316159623769</v>
      </c>
      <c r="O373">
        <v>281.4316159623769</v>
      </c>
      <c r="P373">
        <v>2.2806889019524657E-2</v>
      </c>
    </row>
    <row r="374" spans="1:16" ht="14.25" customHeight="1">
      <c r="A374" s="1" t="s">
        <v>459</v>
      </c>
      <c r="B374" s="1" t="s">
        <v>884</v>
      </c>
      <c r="C374" s="3">
        <v>44743</v>
      </c>
      <c r="D374" s="1" t="s">
        <v>897</v>
      </c>
      <c r="E374" s="1" t="s">
        <v>896</v>
      </c>
      <c r="F374" s="1">
        <v>65</v>
      </c>
      <c r="G374" s="1" t="s">
        <v>1</v>
      </c>
      <c r="H374" s="4">
        <v>6</v>
      </c>
      <c r="I374" s="5">
        <v>0.66448214030499053</v>
      </c>
      <c r="J374">
        <f>Table_3[[#This Row],[Price of One Product]]*Table_3[[#This Row],[No of Products in one Sale]]*(1-Table_3[[#This Row],[Discount]])</f>
        <v>130.85196528105368</v>
      </c>
      <c r="O374">
        <v>130.85196528105368</v>
      </c>
      <c r="P374">
        <v>0.66448214030499053</v>
      </c>
    </row>
    <row r="375" spans="1:16" ht="14.25" customHeight="1">
      <c r="A375" s="1" t="s">
        <v>460</v>
      </c>
      <c r="B375" s="1" t="s">
        <v>885</v>
      </c>
      <c r="C375" s="3">
        <v>44742</v>
      </c>
      <c r="D375" s="1" t="s">
        <v>899</v>
      </c>
      <c r="E375" s="1" t="s">
        <v>898</v>
      </c>
      <c r="F375" s="1">
        <v>250</v>
      </c>
      <c r="G375" s="1" t="s">
        <v>2</v>
      </c>
      <c r="H375" s="4">
        <v>3</v>
      </c>
      <c r="I375" s="5">
        <v>0.29151955249280481</v>
      </c>
      <c r="J375">
        <f>Table_3[[#This Row],[Price of One Product]]*Table_3[[#This Row],[No of Products in one Sale]]*(1-Table_3[[#This Row],[Discount]])</f>
        <v>531.36033563039643</v>
      </c>
      <c r="O375">
        <v>531.36033563039643</v>
      </c>
      <c r="P375">
        <v>0.29151955249280481</v>
      </c>
    </row>
    <row r="376" spans="1:16" ht="14.25" customHeight="1">
      <c r="A376" s="1" t="s">
        <v>461</v>
      </c>
      <c r="B376" s="1" t="s">
        <v>886</v>
      </c>
      <c r="C376" s="3">
        <v>44747</v>
      </c>
      <c r="D376" s="1" t="s">
        <v>900</v>
      </c>
      <c r="E376" s="1" t="s">
        <v>896</v>
      </c>
      <c r="F376" s="1">
        <v>130</v>
      </c>
      <c r="G376" s="1" t="s">
        <v>3</v>
      </c>
      <c r="H376" s="4">
        <v>5</v>
      </c>
      <c r="I376" s="5">
        <v>0.55684098110336311</v>
      </c>
      <c r="J376">
        <f>Table_3[[#This Row],[Price of One Product]]*Table_3[[#This Row],[No of Products in one Sale]]*(1-Table_3[[#This Row],[Discount]])</f>
        <v>288.05336228281396</v>
      </c>
      <c r="O376">
        <v>288.05336228281396</v>
      </c>
      <c r="P376">
        <v>0.55684098110336311</v>
      </c>
    </row>
    <row r="377" spans="1:16" ht="14.25" customHeight="1">
      <c r="A377" s="1" t="s">
        <v>462</v>
      </c>
      <c r="B377" s="1" t="s">
        <v>887</v>
      </c>
      <c r="C377" s="3">
        <v>44764</v>
      </c>
      <c r="D377" s="1" t="s">
        <v>901</v>
      </c>
      <c r="E377" s="1" t="s">
        <v>898</v>
      </c>
      <c r="F377" s="1">
        <v>60</v>
      </c>
      <c r="G377" s="1" t="s">
        <v>1</v>
      </c>
      <c r="H377" s="4">
        <v>14</v>
      </c>
      <c r="I377" s="5">
        <v>0.57240542144015649</v>
      </c>
      <c r="J377">
        <f>Table_3[[#This Row],[Price of One Product]]*Table_3[[#This Row],[No of Products in one Sale]]*(1-Table_3[[#This Row],[Discount]])</f>
        <v>359.17944599026856</v>
      </c>
      <c r="O377">
        <v>359.17944599026856</v>
      </c>
      <c r="P377">
        <v>0.57240542144015649</v>
      </c>
    </row>
    <row r="378" spans="1:16" ht="14.25" customHeight="1">
      <c r="A378" s="1" t="s">
        <v>463</v>
      </c>
      <c r="B378" s="1" t="s">
        <v>883</v>
      </c>
      <c r="C378" s="3">
        <v>44735</v>
      </c>
      <c r="D378" s="1" t="s">
        <v>895</v>
      </c>
      <c r="E378" s="1" t="s">
        <v>896</v>
      </c>
      <c r="F378" s="1">
        <v>72</v>
      </c>
      <c r="G378" s="1" t="s">
        <v>2</v>
      </c>
      <c r="H378" s="4">
        <v>3</v>
      </c>
      <c r="I378" s="5">
        <v>8.6221643115211744E-2</v>
      </c>
      <c r="J378">
        <f>Table_3[[#This Row],[Price of One Product]]*Table_3[[#This Row],[No of Products in one Sale]]*(1-Table_3[[#This Row],[Discount]])</f>
        <v>197.37612508711427</v>
      </c>
      <c r="O378">
        <v>197.37612508711427</v>
      </c>
      <c r="P378">
        <v>8.6221643115211744E-2</v>
      </c>
    </row>
    <row r="379" spans="1:16" ht="14.25" customHeight="1">
      <c r="A379" s="1" t="s">
        <v>464</v>
      </c>
      <c r="B379" s="1" t="s">
        <v>884</v>
      </c>
      <c r="C379" s="3">
        <v>44737</v>
      </c>
      <c r="D379" s="1" t="s">
        <v>897</v>
      </c>
      <c r="E379" s="1" t="s">
        <v>898</v>
      </c>
      <c r="F379" s="1">
        <v>65</v>
      </c>
      <c r="G379" s="1" t="s">
        <v>3</v>
      </c>
      <c r="H379" s="4">
        <v>10</v>
      </c>
      <c r="I379" s="5">
        <v>0.95609718609661631</v>
      </c>
      <c r="J379">
        <f>Table_3[[#This Row],[Price of One Product]]*Table_3[[#This Row],[No of Products in one Sale]]*(1-Table_3[[#This Row],[Discount]])</f>
        <v>28.536829037199396</v>
      </c>
      <c r="O379">
        <v>28.536829037199396</v>
      </c>
      <c r="P379">
        <v>0.95609718609661631</v>
      </c>
    </row>
    <row r="380" spans="1:16" ht="14.25" customHeight="1">
      <c r="A380" s="1" t="s">
        <v>465</v>
      </c>
      <c r="B380" s="1" t="s">
        <v>885</v>
      </c>
      <c r="C380" s="3">
        <v>44749</v>
      </c>
      <c r="D380" s="1" t="s">
        <v>899</v>
      </c>
      <c r="E380" s="1" t="s">
        <v>896</v>
      </c>
      <c r="F380" s="1">
        <v>250</v>
      </c>
      <c r="G380" s="1" t="s">
        <v>1</v>
      </c>
      <c r="H380" s="4">
        <v>2</v>
      </c>
      <c r="I380" s="5">
        <v>0.2455223768222089</v>
      </c>
      <c r="J380">
        <f>Table_3[[#This Row],[Price of One Product]]*Table_3[[#This Row],[No of Products in one Sale]]*(1-Table_3[[#This Row],[Discount]])</f>
        <v>377.23881158889554</v>
      </c>
      <c r="O380">
        <v>377.23881158889554</v>
      </c>
      <c r="P380">
        <v>0.2455223768222089</v>
      </c>
    </row>
    <row r="381" spans="1:16" ht="14.25" customHeight="1">
      <c r="A381" s="1" t="s">
        <v>466</v>
      </c>
      <c r="B381" s="1" t="s">
        <v>886</v>
      </c>
      <c r="C381" s="3">
        <v>44729</v>
      </c>
      <c r="D381" s="1" t="s">
        <v>900</v>
      </c>
      <c r="E381" s="1" t="s">
        <v>898</v>
      </c>
      <c r="F381" s="1">
        <v>130</v>
      </c>
      <c r="G381" s="1" t="s">
        <v>2</v>
      </c>
      <c r="H381" s="4">
        <v>7</v>
      </c>
      <c r="I381" s="5">
        <v>0.56637632681080741</v>
      </c>
      <c r="J381">
        <f>Table_3[[#This Row],[Price of One Product]]*Table_3[[#This Row],[No of Products in one Sale]]*(1-Table_3[[#This Row],[Discount]])</f>
        <v>394.59754260216528</v>
      </c>
      <c r="O381">
        <v>394.59754260216528</v>
      </c>
      <c r="P381">
        <v>0.56637632681080741</v>
      </c>
    </row>
    <row r="382" spans="1:16" ht="14.25" customHeight="1">
      <c r="A382" s="1" t="s">
        <v>467</v>
      </c>
      <c r="B382" s="1" t="s">
        <v>883</v>
      </c>
      <c r="C382" s="3">
        <v>44738</v>
      </c>
      <c r="D382" s="1" t="s">
        <v>895</v>
      </c>
      <c r="E382" s="1" t="s">
        <v>896</v>
      </c>
      <c r="F382" s="1">
        <v>72</v>
      </c>
      <c r="G382" s="1" t="s">
        <v>3</v>
      </c>
      <c r="H382" s="4">
        <v>11</v>
      </c>
      <c r="I382" s="5">
        <v>4.5179835219914199E-2</v>
      </c>
      <c r="J382">
        <f>Table_3[[#This Row],[Price of One Product]]*Table_3[[#This Row],[No of Products in one Sale]]*(1-Table_3[[#This Row],[Discount]])</f>
        <v>756.21757050582801</v>
      </c>
      <c r="O382">
        <v>756.21757050582801</v>
      </c>
      <c r="P382">
        <v>4.5179835219914199E-2</v>
      </c>
    </row>
    <row r="383" spans="1:16" ht="14.25" customHeight="1">
      <c r="A383" s="1" t="s">
        <v>468</v>
      </c>
      <c r="B383" s="1" t="s">
        <v>884</v>
      </c>
      <c r="C383" s="3">
        <v>44740</v>
      </c>
      <c r="D383" s="1" t="s">
        <v>897</v>
      </c>
      <c r="E383" s="1" t="s">
        <v>898</v>
      </c>
      <c r="F383" s="1">
        <v>65</v>
      </c>
      <c r="G383" s="1" t="s">
        <v>1</v>
      </c>
      <c r="H383" s="4">
        <v>13</v>
      </c>
      <c r="I383" s="5">
        <v>0.97345529924354934</v>
      </c>
      <c r="J383">
        <f>Table_3[[#This Row],[Price of One Product]]*Table_3[[#This Row],[No of Products in one Sale]]*(1-Table_3[[#This Row],[Discount]])</f>
        <v>22.430272139200806</v>
      </c>
      <c r="O383">
        <v>22.430272139200806</v>
      </c>
      <c r="P383">
        <v>0.97345529924354934</v>
      </c>
    </row>
    <row r="384" spans="1:16" ht="14.25" customHeight="1">
      <c r="A384" s="1" t="s">
        <v>469</v>
      </c>
      <c r="B384" s="1" t="s">
        <v>885</v>
      </c>
      <c r="C384" s="3">
        <v>44755</v>
      </c>
      <c r="D384" s="1" t="s">
        <v>899</v>
      </c>
      <c r="E384" s="1" t="s">
        <v>896</v>
      </c>
      <c r="F384" s="1">
        <v>250</v>
      </c>
      <c r="G384" s="1" t="s">
        <v>2</v>
      </c>
      <c r="H384" s="4">
        <v>3</v>
      </c>
      <c r="I384" s="5">
        <v>0.56733394419124217</v>
      </c>
      <c r="J384">
        <f>Table_3[[#This Row],[Price of One Product]]*Table_3[[#This Row],[No of Products in one Sale]]*(1-Table_3[[#This Row],[Discount]])</f>
        <v>324.49954185656838</v>
      </c>
      <c r="O384">
        <v>324.49954185656838</v>
      </c>
      <c r="P384">
        <v>0.56733394419124217</v>
      </c>
    </row>
    <row r="385" spans="1:16" ht="14.25" customHeight="1">
      <c r="A385" s="1" t="s">
        <v>470</v>
      </c>
      <c r="B385" s="1" t="s">
        <v>886</v>
      </c>
      <c r="C385" s="3">
        <v>44755</v>
      </c>
      <c r="D385" s="1" t="s">
        <v>900</v>
      </c>
      <c r="E385" s="1" t="s">
        <v>898</v>
      </c>
      <c r="F385" s="1">
        <v>130</v>
      </c>
      <c r="G385" s="1" t="s">
        <v>3</v>
      </c>
      <c r="H385" s="4">
        <v>6</v>
      </c>
      <c r="I385" s="5">
        <v>0.37928431149731212</v>
      </c>
      <c r="J385">
        <f>Table_3[[#This Row],[Price of One Product]]*Table_3[[#This Row],[No of Products in one Sale]]*(1-Table_3[[#This Row],[Discount]])</f>
        <v>484.15823703209657</v>
      </c>
      <c r="O385">
        <v>484.15823703209657</v>
      </c>
      <c r="P385">
        <v>0.37928431149731212</v>
      </c>
    </row>
    <row r="386" spans="1:16" ht="14.25" customHeight="1">
      <c r="A386" s="1" t="s">
        <v>471</v>
      </c>
      <c r="B386" s="1" t="s">
        <v>887</v>
      </c>
      <c r="C386" s="3">
        <v>44764</v>
      </c>
      <c r="D386" s="1" t="s">
        <v>901</v>
      </c>
      <c r="E386" s="1" t="s">
        <v>896</v>
      </c>
      <c r="F386" s="1">
        <v>60</v>
      </c>
      <c r="G386" s="1" t="s">
        <v>1</v>
      </c>
      <c r="H386" s="4">
        <v>15</v>
      </c>
      <c r="I386" s="5">
        <v>0.62865911330533553</v>
      </c>
      <c r="J386">
        <f>Table_3[[#This Row],[Price of One Product]]*Table_3[[#This Row],[No of Products in one Sale]]*(1-Table_3[[#This Row],[Discount]])</f>
        <v>334.20679802519805</v>
      </c>
      <c r="O386">
        <v>334.20679802519805</v>
      </c>
      <c r="P386">
        <v>0.62865911330533553</v>
      </c>
    </row>
    <row r="387" spans="1:16" ht="14.25" customHeight="1">
      <c r="A387" s="1" t="s">
        <v>472</v>
      </c>
      <c r="B387" s="1" t="s">
        <v>888</v>
      </c>
      <c r="C387" s="3">
        <v>44735</v>
      </c>
      <c r="D387" s="1" t="s">
        <v>902</v>
      </c>
      <c r="E387" s="1" t="s">
        <v>898</v>
      </c>
      <c r="F387" s="1">
        <v>95</v>
      </c>
      <c r="G387" s="1" t="s">
        <v>2</v>
      </c>
      <c r="H387" s="4">
        <v>6</v>
      </c>
      <c r="I387" s="5">
        <v>0.37937934610324464</v>
      </c>
      <c r="J387">
        <f>Table_3[[#This Row],[Price of One Product]]*Table_3[[#This Row],[No of Products in one Sale]]*(1-Table_3[[#This Row],[Discount]])</f>
        <v>353.75377272115054</v>
      </c>
      <c r="O387">
        <v>353.75377272115054</v>
      </c>
      <c r="P387">
        <v>0.37937934610324464</v>
      </c>
    </row>
    <row r="388" spans="1:16" ht="14.25" customHeight="1">
      <c r="A388" s="1" t="s">
        <v>473</v>
      </c>
      <c r="B388" s="1" t="s">
        <v>883</v>
      </c>
      <c r="C388" s="3">
        <v>44734</v>
      </c>
      <c r="D388" s="1" t="s">
        <v>895</v>
      </c>
      <c r="E388" s="1" t="s">
        <v>896</v>
      </c>
      <c r="F388" s="1">
        <v>72</v>
      </c>
      <c r="G388" s="1" t="s">
        <v>3</v>
      </c>
      <c r="H388" s="4">
        <v>11</v>
      </c>
      <c r="I388" s="5">
        <v>0.35891515866951118</v>
      </c>
      <c r="J388">
        <f>Table_3[[#This Row],[Price of One Product]]*Table_3[[#This Row],[No of Products in one Sale]]*(1-Table_3[[#This Row],[Discount]])</f>
        <v>507.73919433374715</v>
      </c>
      <c r="O388">
        <v>507.73919433374715</v>
      </c>
      <c r="P388">
        <v>0.35891515866951118</v>
      </c>
    </row>
    <row r="389" spans="1:16" ht="14.25" customHeight="1">
      <c r="A389" s="1" t="s">
        <v>474</v>
      </c>
      <c r="B389" s="1" t="s">
        <v>884</v>
      </c>
      <c r="C389" s="3">
        <v>44728</v>
      </c>
      <c r="D389" s="1" t="s">
        <v>897</v>
      </c>
      <c r="E389" s="1" t="s">
        <v>898</v>
      </c>
      <c r="F389" s="1">
        <v>65</v>
      </c>
      <c r="G389" s="1" t="s">
        <v>1</v>
      </c>
      <c r="H389" s="4">
        <v>13</v>
      </c>
      <c r="I389" s="5">
        <v>0.90122352916020354</v>
      </c>
      <c r="J389">
        <f>Table_3[[#This Row],[Price of One Product]]*Table_3[[#This Row],[No of Products in one Sale]]*(1-Table_3[[#This Row],[Discount]])</f>
        <v>83.466117859628014</v>
      </c>
      <c r="O389">
        <v>83.466117859628014</v>
      </c>
      <c r="P389">
        <v>0.90122352916020354</v>
      </c>
    </row>
    <row r="390" spans="1:16" ht="14.25" customHeight="1">
      <c r="A390" s="1" t="s">
        <v>475</v>
      </c>
      <c r="B390" s="1" t="s">
        <v>885</v>
      </c>
      <c r="C390" s="3">
        <v>44739</v>
      </c>
      <c r="D390" s="1" t="s">
        <v>899</v>
      </c>
      <c r="E390" s="1" t="s">
        <v>898</v>
      </c>
      <c r="F390" s="1">
        <v>250</v>
      </c>
      <c r="G390" s="1" t="s">
        <v>2</v>
      </c>
      <c r="H390" s="4">
        <v>3</v>
      </c>
      <c r="I390" s="5">
        <v>0.37786597877728811</v>
      </c>
      <c r="J390">
        <f>Table_3[[#This Row],[Price of One Product]]*Table_3[[#This Row],[No of Products in one Sale]]*(1-Table_3[[#This Row],[Discount]])</f>
        <v>466.60051591703393</v>
      </c>
      <c r="O390">
        <v>466.60051591703393</v>
      </c>
      <c r="P390">
        <v>0.37786597877728811</v>
      </c>
    </row>
    <row r="391" spans="1:16" ht="14.25" customHeight="1">
      <c r="A391" s="1" t="s">
        <v>476</v>
      </c>
      <c r="B391" s="1" t="s">
        <v>886</v>
      </c>
      <c r="C391" s="3">
        <v>44765</v>
      </c>
      <c r="D391" s="1" t="s">
        <v>900</v>
      </c>
      <c r="E391" s="1" t="s">
        <v>898</v>
      </c>
      <c r="F391" s="1">
        <v>130</v>
      </c>
      <c r="G391" s="1" t="s">
        <v>3</v>
      </c>
      <c r="H391" s="4">
        <v>3</v>
      </c>
      <c r="I391" s="5">
        <v>0.38913445453338702</v>
      </c>
      <c r="J391">
        <f>Table_3[[#This Row],[Price of One Product]]*Table_3[[#This Row],[No of Products in one Sale]]*(1-Table_3[[#This Row],[Discount]])</f>
        <v>238.23756273197907</v>
      </c>
      <c r="O391">
        <v>238.23756273197907</v>
      </c>
      <c r="P391">
        <v>0.38913445453338702</v>
      </c>
    </row>
    <row r="392" spans="1:16" ht="14.25" customHeight="1">
      <c r="A392" s="1" t="s">
        <v>477</v>
      </c>
      <c r="B392" s="1" t="s">
        <v>883</v>
      </c>
      <c r="C392" s="3">
        <v>44740</v>
      </c>
      <c r="D392" s="1" t="s">
        <v>895</v>
      </c>
      <c r="E392" s="1" t="s">
        <v>898</v>
      </c>
      <c r="F392" s="1">
        <v>72</v>
      </c>
      <c r="G392" s="1" t="s">
        <v>1</v>
      </c>
      <c r="H392" s="4">
        <v>12</v>
      </c>
      <c r="I392" s="5">
        <v>0.60714667724340543</v>
      </c>
      <c r="J392">
        <f>Table_3[[#This Row],[Price of One Product]]*Table_3[[#This Row],[No of Products in one Sale]]*(1-Table_3[[#This Row],[Discount]])</f>
        <v>339.4252708616977</v>
      </c>
      <c r="O392">
        <v>339.4252708616977</v>
      </c>
      <c r="P392">
        <v>0.60714667724340543</v>
      </c>
    </row>
    <row r="393" spans="1:16" ht="14.25" customHeight="1">
      <c r="A393" s="1" t="s">
        <v>478</v>
      </c>
      <c r="B393" s="1" t="s">
        <v>884</v>
      </c>
      <c r="C393" s="3">
        <v>44734</v>
      </c>
      <c r="D393" s="1" t="s">
        <v>897</v>
      </c>
      <c r="E393" s="1" t="s">
        <v>898</v>
      </c>
      <c r="F393" s="1">
        <v>65</v>
      </c>
      <c r="G393" s="1" t="s">
        <v>2</v>
      </c>
      <c r="H393" s="4">
        <v>8</v>
      </c>
      <c r="I393" s="5">
        <v>0.17261163513710231</v>
      </c>
      <c r="J393">
        <f>Table_3[[#This Row],[Price of One Product]]*Table_3[[#This Row],[No of Products in one Sale]]*(1-Table_3[[#This Row],[Discount]])</f>
        <v>430.2419497287068</v>
      </c>
      <c r="O393">
        <v>430.2419497287068</v>
      </c>
      <c r="P393">
        <v>0.17261163513710231</v>
      </c>
    </row>
    <row r="394" spans="1:16" ht="14.25" customHeight="1">
      <c r="A394" s="1" t="s">
        <v>479</v>
      </c>
      <c r="B394" s="1" t="s">
        <v>885</v>
      </c>
      <c r="C394" s="3">
        <v>44727</v>
      </c>
      <c r="D394" s="1" t="s">
        <v>899</v>
      </c>
      <c r="E394" s="1" t="s">
        <v>896</v>
      </c>
      <c r="F394" s="1">
        <v>250</v>
      </c>
      <c r="G394" s="1" t="s">
        <v>3</v>
      </c>
      <c r="H394" s="4">
        <v>1</v>
      </c>
      <c r="I394" s="5">
        <v>3.4451566476951467E-2</v>
      </c>
      <c r="J394">
        <f>Table_3[[#This Row],[Price of One Product]]*Table_3[[#This Row],[No of Products in one Sale]]*(1-Table_3[[#This Row],[Discount]])</f>
        <v>241.38710838076213</v>
      </c>
      <c r="O394">
        <v>241.38710838076213</v>
      </c>
      <c r="P394">
        <v>3.4451566476951467E-2</v>
      </c>
    </row>
    <row r="395" spans="1:16" ht="14.25" customHeight="1">
      <c r="A395" s="1" t="s">
        <v>480</v>
      </c>
      <c r="B395" s="1" t="s">
        <v>886</v>
      </c>
      <c r="C395" s="3">
        <v>44737</v>
      </c>
      <c r="D395" s="1" t="s">
        <v>900</v>
      </c>
      <c r="E395" s="1" t="s">
        <v>898</v>
      </c>
      <c r="F395" s="1">
        <v>130</v>
      </c>
      <c r="G395" s="1" t="s">
        <v>1</v>
      </c>
      <c r="H395" s="4">
        <v>4</v>
      </c>
      <c r="I395" s="5">
        <v>0.36600821552214791</v>
      </c>
      <c r="J395">
        <f>Table_3[[#This Row],[Price of One Product]]*Table_3[[#This Row],[No of Products in one Sale]]*(1-Table_3[[#This Row],[Discount]])</f>
        <v>329.67572792848307</v>
      </c>
      <c r="O395">
        <v>329.67572792848307</v>
      </c>
      <c r="P395">
        <v>0.36600821552214791</v>
      </c>
    </row>
    <row r="396" spans="1:16" ht="14.25" customHeight="1">
      <c r="A396" s="1" t="s">
        <v>481</v>
      </c>
      <c r="B396" s="1" t="s">
        <v>887</v>
      </c>
      <c r="C396" s="3">
        <v>44747</v>
      </c>
      <c r="D396" s="1" t="s">
        <v>901</v>
      </c>
      <c r="E396" s="1" t="s">
        <v>896</v>
      </c>
      <c r="F396" s="1">
        <v>60</v>
      </c>
      <c r="G396" s="1" t="s">
        <v>2</v>
      </c>
      <c r="H396" s="4">
        <v>4</v>
      </c>
      <c r="I396" s="5">
        <v>0.36876304797324455</v>
      </c>
      <c r="J396">
        <f>Table_3[[#This Row],[Price of One Product]]*Table_3[[#This Row],[No of Products in one Sale]]*(1-Table_3[[#This Row],[Discount]])</f>
        <v>151.49686848642131</v>
      </c>
      <c r="O396">
        <v>151.49686848642131</v>
      </c>
      <c r="P396">
        <v>0.36876304797324455</v>
      </c>
    </row>
    <row r="397" spans="1:16" ht="14.25" customHeight="1">
      <c r="A397" s="1" t="s">
        <v>482</v>
      </c>
      <c r="B397" s="1" t="s">
        <v>883</v>
      </c>
      <c r="C397" s="3">
        <v>44754</v>
      </c>
      <c r="D397" s="1" t="s">
        <v>895</v>
      </c>
      <c r="E397" s="1" t="s">
        <v>898</v>
      </c>
      <c r="F397" s="1">
        <v>72</v>
      </c>
      <c r="G397" s="1" t="s">
        <v>3</v>
      </c>
      <c r="H397" s="4">
        <v>12</v>
      </c>
      <c r="I397" s="5">
        <v>0.78491525862060318</v>
      </c>
      <c r="J397">
        <f>Table_3[[#This Row],[Price of One Product]]*Table_3[[#This Row],[No of Products in one Sale]]*(1-Table_3[[#This Row],[Discount]])</f>
        <v>185.83321655179884</v>
      </c>
      <c r="O397">
        <v>185.83321655179884</v>
      </c>
      <c r="P397">
        <v>0.78491525862060318</v>
      </c>
    </row>
    <row r="398" spans="1:16" ht="14.25" customHeight="1">
      <c r="A398" s="1" t="s">
        <v>483</v>
      </c>
      <c r="B398" s="1" t="s">
        <v>884</v>
      </c>
      <c r="C398" s="3">
        <v>44760</v>
      </c>
      <c r="D398" s="1" t="s">
        <v>897</v>
      </c>
      <c r="E398" s="1" t="s">
        <v>896</v>
      </c>
      <c r="F398" s="1">
        <v>65</v>
      </c>
      <c r="G398" s="1" t="s">
        <v>1</v>
      </c>
      <c r="H398" s="4">
        <v>4</v>
      </c>
      <c r="I398" s="5">
        <v>0.89433154555842931</v>
      </c>
      <c r="J398">
        <f>Table_3[[#This Row],[Price of One Product]]*Table_3[[#This Row],[No of Products in one Sale]]*(1-Table_3[[#This Row],[Discount]])</f>
        <v>27.473798154808378</v>
      </c>
      <c r="O398">
        <v>27.473798154808378</v>
      </c>
      <c r="P398">
        <v>0.89433154555842931</v>
      </c>
    </row>
    <row r="399" spans="1:16" ht="14.25" customHeight="1">
      <c r="A399" s="1" t="s">
        <v>484</v>
      </c>
      <c r="B399" s="1" t="s">
        <v>885</v>
      </c>
      <c r="C399" s="3">
        <v>44759</v>
      </c>
      <c r="D399" s="1" t="s">
        <v>899</v>
      </c>
      <c r="E399" s="1" t="s">
        <v>898</v>
      </c>
      <c r="F399" s="1">
        <v>250</v>
      </c>
      <c r="G399" s="1" t="s">
        <v>2</v>
      </c>
      <c r="H399" s="4">
        <v>1</v>
      </c>
      <c r="I399" s="5">
        <v>0.54494310667938251</v>
      </c>
      <c r="J399">
        <f>Table_3[[#This Row],[Price of One Product]]*Table_3[[#This Row],[No of Products in one Sale]]*(1-Table_3[[#This Row],[Discount]])</f>
        <v>113.76422333015438</v>
      </c>
      <c r="O399">
        <v>113.76422333015438</v>
      </c>
      <c r="P399">
        <v>0.54494310667938251</v>
      </c>
    </row>
    <row r="400" spans="1:16" ht="14.25" customHeight="1">
      <c r="A400" s="1" t="s">
        <v>485</v>
      </c>
      <c r="B400" s="1" t="s">
        <v>886</v>
      </c>
      <c r="C400" s="3">
        <v>44735</v>
      </c>
      <c r="D400" s="1" t="s">
        <v>900</v>
      </c>
      <c r="E400" s="1" t="s">
        <v>896</v>
      </c>
      <c r="F400" s="1">
        <v>130</v>
      </c>
      <c r="G400" s="1" t="s">
        <v>3</v>
      </c>
      <c r="H400" s="4">
        <v>7</v>
      </c>
      <c r="I400" s="5">
        <v>0.84443209424513666</v>
      </c>
      <c r="J400">
        <f>Table_3[[#This Row],[Price of One Product]]*Table_3[[#This Row],[No of Products in one Sale]]*(1-Table_3[[#This Row],[Discount]])</f>
        <v>141.56679423692563</v>
      </c>
      <c r="O400">
        <v>141.56679423692563</v>
      </c>
      <c r="P400">
        <v>0.84443209424513666</v>
      </c>
    </row>
    <row r="401" spans="1:16" ht="14.25" customHeight="1">
      <c r="A401" s="1" t="s">
        <v>486</v>
      </c>
      <c r="B401" s="1" t="s">
        <v>883</v>
      </c>
      <c r="C401" s="3">
        <v>44734</v>
      </c>
      <c r="D401" s="1" t="s">
        <v>895</v>
      </c>
      <c r="E401" s="1" t="s">
        <v>898</v>
      </c>
      <c r="F401" s="1">
        <v>72</v>
      </c>
      <c r="G401" s="1" t="s">
        <v>1</v>
      </c>
      <c r="H401" s="4">
        <v>7</v>
      </c>
      <c r="I401" s="5">
        <v>0.11084077878058052</v>
      </c>
      <c r="J401">
        <f>Table_3[[#This Row],[Price of One Product]]*Table_3[[#This Row],[No of Products in one Sale]]*(1-Table_3[[#This Row],[Discount]])</f>
        <v>448.13624749458739</v>
      </c>
      <c r="O401">
        <v>448.13624749458739</v>
      </c>
      <c r="P401">
        <v>0.11084077878058052</v>
      </c>
    </row>
    <row r="402" spans="1:16" ht="14.25" customHeight="1">
      <c r="A402" s="1" t="s">
        <v>487</v>
      </c>
      <c r="B402" s="1" t="s">
        <v>884</v>
      </c>
      <c r="C402" s="3">
        <v>44753</v>
      </c>
      <c r="D402" s="1" t="s">
        <v>897</v>
      </c>
      <c r="E402" s="1" t="s">
        <v>896</v>
      </c>
      <c r="F402" s="1">
        <v>65</v>
      </c>
      <c r="G402" s="1" t="s">
        <v>2</v>
      </c>
      <c r="H402" s="4">
        <v>9</v>
      </c>
      <c r="I402" s="5">
        <v>0.26630312920291821</v>
      </c>
      <c r="J402">
        <f>Table_3[[#This Row],[Price of One Product]]*Table_3[[#This Row],[No of Products in one Sale]]*(1-Table_3[[#This Row],[Discount]])</f>
        <v>429.21266941629284</v>
      </c>
      <c r="O402">
        <v>429.21266941629284</v>
      </c>
      <c r="P402">
        <v>0.26630312920291821</v>
      </c>
    </row>
    <row r="403" spans="1:16" ht="14.25" customHeight="1">
      <c r="A403" s="1" t="s">
        <v>488</v>
      </c>
      <c r="B403" s="1" t="s">
        <v>885</v>
      </c>
      <c r="C403" s="3">
        <v>44739</v>
      </c>
      <c r="D403" s="1" t="s">
        <v>899</v>
      </c>
      <c r="E403" s="1" t="s">
        <v>898</v>
      </c>
      <c r="F403" s="1">
        <v>250</v>
      </c>
      <c r="G403" s="1" t="s">
        <v>3</v>
      </c>
      <c r="H403" s="4">
        <v>3</v>
      </c>
      <c r="I403" s="5">
        <v>0.13279161787420113</v>
      </c>
      <c r="J403">
        <f>Table_3[[#This Row],[Price of One Product]]*Table_3[[#This Row],[No of Products in one Sale]]*(1-Table_3[[#This Row],[Discount]])</f>
        <v>650.40628659434913</v>
      </c>
      <c r="O403">
        <v>650.40628659434913</v>
      </c>
      <c r="P403">
        <v>0.13279161787420113</v>
      </c>
    </row>
    <row r="404" spans="1:16" ht="14.25" customHeight="1">
      <c r="A404" s="1" t="s">
        <v>489</v>
      </c>
      <c r="B404" s="1" t="s">
        <v>886</v>
      </c>
      <c r="C404" s="3">
        <v>44740</v>
      </c>
      <c r="D404" s="1" t="s">
        <v>900</v>
      </c>
      <c r="E404" s="1" t="s">
        <v>896</v>
      </c>
      <c r="F404" s="1">
        <v>130</v>
      </c>
      <c r="G404" s="1" t="s">
        <v>1</v>
      </c>
      <c r="H404" s="4">
        <v>4</v>
      </c>
      <c r="I404" s="5">
        <v>0.20794478004129135</v>
      </c>
      <c r="J404">
        <f>Table_3[[#This Row],[Price of One Product]]*Table_3[[#This Row],[No of Products in one Sale]]*(1-Table_3[[#This Row],[Discount]])</f>
        <v>411.86871437852852</v>
      </c>
      <c r="O404">
        <v>411.86871437852852</v>
      </c>
      <c r="P404">
        <v>0.20794478004129135</v>
      </c>
    </row>
    <row r="405" spans="1:16" ht="14.25" customHeight="1">
      <c r="A405" s="1" t="s">
        <v>490</v>
      </c>
      <c r="B405" s="1" t="s">
        <v>887</v>
      </c>
      <c r="C405" s="3">
        <v>44748</v>
      </c>
      <c r="D405" s="1" t="s">
        <v>901</v>
      </c>
      <c r="E405" s="1" t="s">
        <v>898</v>
      </c>
      <c r="F405" s="1">
        <v>60</v>
      </c>
      <c r="G405" s="1" t="s">
        <v>2</v>
      </c>
      <c r="H405" s="4">
        <v>12</v>
      </c>
      <c r="I405" s="5">
        <v>0.76031378549826045</v>
      </c>
      <c r="J405">
        <f>Table_3[[#This Row],[Price of One Product]]*Table_3[[#This Row],[No of Products in one Sale]]*(1-Table_3[[#This Row],[Discount]])</f>
        <v>172.57407444125246</v>
      </c>
      <c r="O405">
        <v>172.57407444125246</v>
      </c>
      <c r="P405">
        <v>0.76031378549826045</v>
      </c>
    </row>
    <row r="406" spans="1:16" ht="14.25" customHeight="1">
      <c r="A406" s="1" t="s">
        <v>491</v>
      </c>
      <c r="B406" s="1" t="s">
        <v>888</v>
      </c>
      <c r="C406" s="3">
        <v>44731</v>
      </c>
      <c r="D406" s="1" t="s">
        <v>902</v>
      </c>
      <c r="E406" s="1" t="s">
        <v>896</v>
      </c>
      <c r="F406" s="1">
        <v>95</v>
      </c>
      <c r="G406" s="1" t="s">
        <v>3</v>
      </c>
      <c r="H406" s="4">
        <v>8</v>
      </c>
      <c r="I406" s="5">
        <v>0.23804641255169789</v>
      </c>
      <c r="J406">
        <f>Table_3[[#This Row],[Price of One Product]]*Table_3[[#This Row],[No of Products in one Sale]]*(1-Table_3[[#This Row],[Discount]])</f>
        <v>579.08472646070959</v>
      </c>
      <c r="O406">
        <v>579.08472646070959</v>
      </c>
      <c r="P406">
        <v>0.23804641255169789</v>
      </c>
    </row>
    <row r="407" spans="1:16" ht="14.25" customHeight="1">
      <c r="A407" s="1" t="s">
        <v>492</v>
      </c>
      <c r="B407" s="1" t="s">
        <v>883</v>
      </c>
      <c r="C407" s="3">
        <v>44763</v>
      </c>
      <c r="D407" s="1" t="s">
        <v>895</v>
      </c>
      <c r="E407" s="1" t="s">
        <v>898</v>
      </c>
      <c r="F407" s="1">
        <v>72</v>
      </c>
      <c r="G407" s="1" t="s">
        <v>1</v>
      </c>
      <c r="H407" s="4">
        <v>5</v>
      </c>
      <c r="I407" s="5">
        <v>0.12523689369936652</v>
      </c>
      <c r="J407">
        <f>Table_3[[#This Row],[Price of One Product]]*Table_3[[#This Row],[No of Products in one Sale]]*(1-Table_3[[#This Row],[Discount]])</f>
        <v>314.91471826822806</v>
      </c>
      <c r="O407">
        <v>314.91471826822806</v>
      </c>
      <c r="P407">
        <v>0.12523689369936652</v>
      </c>
    </row>
    <row r="408" spans="1:16" ht="14.25" customHeight="1">
      <c r="A408" s="1" t="s">
        <v>493</v>
      </c>
      <c r="B408" s="1" t="s">
        <v>884</v>
      </c>
      <c r="C408" s="3">
        <v>44733</v>
      </c>
      <c r="D408" s="1" t="s">
        <v>897</v>
      </c>
      <c r="E408" s="1" t="s">
        <v>896</v>
      </c>
      <c r="F408" s="1">
        <v>65</v>
      </c>
      <c r="G408" s="1" t="s">
        <v>2</v>
      </c>
      <c r="H408" s="4">
        <v>4</v>
      </c>
      <c r="I408" s="5">
        <v>6.7101746358327108E-2</v>
      </c>
      <c r="J408">
        <f>Table_3[[#This Row],[Price of One Product]]*Table_3[[#This Row],[No of Products in one Sale]]*(1-Table_3[[#This Row],[Discount]])</f>
        <v>242.55354594683496</v>
      </c>
      <c r="O408">
        <v>242.55354594683496</v>
      </c>
      <c r="P408">
        <v>6.7101746358327108E-2</v>
      </c>
    </row>
    <row r="409" spans="1:16" ht="14.25" customHeight="1">
      <c r="A409" s="1" t="s">
        <v>494</v>
      </c>
      <c r="B409" s="1" t="s">
        <v>885</v>
      </c>
      <c r="C409" s="3">
        <v>44746</v>
      </c>
      <c r="D409" s="1" t="s">
        <v>899</v>
      </c>
      <c r="E409" s="1" t="s">
        <v>898</v>
      </c>
      <c r="F409" s="1">
        <v>250</v>
      </c>
      <c r="G409" s="1" t="s">
        <v>3</v>
      </c>
      <c r="H409" s="4">
        <v>2</v>
      </c>
      <c r="I409" s="5">
        <v>0.98970617123906524</v>
      </c>
      <c r="J409">
        <f>Table_3[[#This Row],[Price of One Product]]*Table_3[[#This Row],[No of Products in one Sale]]*(1-Table_3[[#This Row],[Discount]])</f>
        <v>5.1469143804673827</v>
      </c>
      <c r="O409">
        <v>5.1469143804673827</v>
      </c>
      <c r="P409">
        <v>0.98970617123906524</v>
      </c>
    </row>
    <row r="410" spans="1:16" ht="14.25" customHeight="1">
      <c r="A410" s="1" t="s">
        <v>495</v>
      </c>
      <c r="B410" s="1" t="s">
        <v>886</v>
      </c>
      <c r="C410" s="3">
        <v>44755</v>
      </c>
      <c r="D410" s="1" t="s">
        <v>900</v>
      </c>
      <c r="E410" s="1" t="s">
        <v>896</v>
      </c>
      <c r="F410" s="1">
        <v>130</v>
      </c>
      <c r="G410" s="1" t="s">
        <v>1</v>
      </c>
      <c r="H410" s="4">
        <v>2</v>
      </c>
      <c r="I410" s="5">
        <v>0.26202679185175082</v>
      </c>
      <c r="J410">
        <f>Table_3[[#This Row],[Price of One Product]]*Table_3[[#This Row],[No of Products in one Sale]]*(1-Table_3[[#This Row],[Discount]])</f>
        <v>191.87303411854478</v>
      </c>
      <c r="O410">
        <v>191.87303411854478</v>
      </c>
      <c r="P410">
        <v>0.26202679185175082</v>
      </c>
    </row>
    <row r="411" spans="1:16" ht="14.25" customHeight="1">
      <c r="A411" s="1" t="s">
        <v>496</v>
      </c>
      <c r="B411" s="1" t="s">
        <v>883</v>
      </c>
      <c r="C411" s="3">
        <v>44755</v>
      </c>
      <c r="D411" s="1" t="s">
        <v>895</v>
      </c>
      <c r="E411" s="1" t="s">
        <v>898</v>
      </c>
      <c r="F411" s="1">
        <v>72</v>
      </c>
      <c r="G411" s="1" t="s">
        <v>2</v>
      </c>
      <c r="H411" s="4">
        <v>10</v>
      </c>
      <c r="I411" s="5">
        <v>0.87263143953916489</v>
      </c>
      <c r="J411">
        <f>Table_3[[#This Row],[Price of One Product]]*Table_3[[#This Row],[No of Products in one Sale]]*(1-Table_3[[#This Row],[Discount]])</f>
        <v>91.705363531801282</v>
      </c>
      <c r="O411">
        <v>91.705363531801282</v>
      </c>
      <c r="P411">
        <v>0.87263143953916489</v>
      </c>
    </row>
    <row r="412" spans="1:16" ht="14.25" customHeight="1">
      <c r="A412" s="1" t="s">
        <v>497</v>
      </c>
      <c r="B412" s="1" t="s">
        <v>884</v>
      </c>
      <c r="C412" s="3">
        <v>44727</v>
      </c>
      <c r="D412" s="1" t="s">
        <v>897</v>
      </c>
      <c r="E412" s="1" t="s">
        <v>898</v>
      </c>
      <c r="F412" s="1">
        <v>65</v>
      </c>
      <c r="G412" s="1" t="s">
        <v>3</v>
      </c>
      <c r="H412" s="4">
        <v>6</v>
      </c>
      <c r="I412" s="5">
        <v>0.76778137062272289</v>
      </c>
      <c r="J412">
        <f>Table_3[[#This Row],[Price of One Product]]*Table_3[[#This Row],[No of Products in one Sale]]*(1-Table_3[[#This Row],[Discount]])</f>
        <v>90.565265457138068</v>
      </c>
      <c r="O412">
        <v>90.565265457138068</v>
      </c>
      <c r="P412">
        <v>0.76778137062272289</v>
      </c>
    </row>
    <row r="413" spans="1:16" ht="14.25" customHeight="1">
      <c r="A413" s="1" t="s">
        <v>498</v>
      </c>
      <c r="B413" s="1" t="s">
        <v>885</v>
      </c>
      <c r="C413" s="3">
        <v>44746</v>
      </c>
      <c r="D413" s="1" t="s">
        <v>899</v>
      </c>
      <c r="E413" s="1" t="s">
        <v>898</v>
      </c>
      <c r="F413" s="1">
        <v>250</v>
      </c>
      <c r="G413" s="1" t="s">
        <v>1</v>
      </c>
      <c r="H413" s="4">
        <v>1</v>
      </c>
      <c r="I413" s="5">
        <v>0.15750010631121669</v>
      </c>
      <c r="J413">
        <f>Table_3[[#This Row],[Price of One Product]]*Table_3[[#This Row],[No of Products in one Sale]]*(1-Table_3[[#This Row],[Discount]])</f>
        <v>210.62497342219584</v>
      </c>
      <c r="O413">
        <v>210.62497342219584</v>
      </c>
      <c r="P413">
        <v>0.15750010631121669</v>
      </c>
    </row>
    <row r="414" spans="1:16" ht="14.25" customHeight="1">
      <c r="A414" s="1" t="s">
        <v>499</v>
      </c>
      <c r="B414" s="1" t="s">
        <v>886</v>
      </c>
      <c r="C414" s="3">
        <v>44740</v>
      </c>
      <c r="D414" s="1" t="s">
        <v>895</v>
      </c>
      <c r="E414" s="1" t="s">
        <v>898</v>
      </c>
      <c r="F414" s="1">
        <v>72</v>
      </c>
      <c r="G414" s="1" t="s">
        <v>2</v>
      </c>
      <c r="H414" s="4">
        <v>9</v>
      </c>
      <c r="I414" s="5">
        <v>0.53570171465492589</v>
      </c>
      <c r="J414">
        <f>Table_3[[#This Row],[Price of One Product]]*Table_3[[#This Row],[No of Products in one Sale]]*(1-Table_3[[#This Row],[Discount]])</f>
        <v>300.86528890360802</v>
      </c>
      <c r="O414">
        <v>300.86528890360802</v>
      </c>
      <c r="P414">
        <v>0.53570171465492589</v>
      </c>
    </row>
    <row r="415" spans="1:16" ht="14.25" customHeight="1">
      <c r="A415" s="1" t="s">
        <v>500</v>
      </c>
      <c r="B415" s="1" t="s">
        <v>883</v>
      </c>
      <c r="C415" s="3">
        <v>44743</v>
      </c>
      <c r="D415" s="1" t="s">
        <v>897</v>
      </c>
      <c r="E415" s="1" t="s">
        <v>898</v>
      </c>
      <c r="F415" s="1">
        <v>65</v>
      </c>
      <c r="G415" s="1" t="s">
        <v>3</v>
      </c>
      <c r="H415" s="4">
        <v>7</v>
      </c>
      <c r="I415" s="5">
        <v>0.88217490075954386</v>
      </c>
      <c r="J415">
        <f>Table_3[[#This Row],[Price of One Product]]*Table_3[[#This Row],[No of Products in one Sale]]*(1-Table_3[[#This Row],[Discount]])</f>
        <v>53.610420154407542</v>
      </c>
      <c r="O415">
        <v>53.610420154407542</v>
      </c>
      <c r="P415">
        <v>0.88217490075954386</v>
      </c>
    </row>
    <row r="416" spans="1:16" ht="14.25" customHeight="1">
      <c r="A416" s="1" t="s">
        <v>501</v>
      </c>
      <c r="B416" s="1" t="s">
        <v>884</v>
      </c>
      <c r="C416" s="3">
        <v>44737</v>
      </c>
      <c r="D416" s="1" t="s">
        <v>899</v>
      </c>
      <c r="E416" s="1" t="s">
        <v>896</v>
      </c>
      <c r="F416" s="1">
        <v>250</v>
      </c>
      <c r="G416" s="1" t="s">
        <v>3</v>
      </c>
      <c r="H416" s="4">
        <v>3</v>
      </c>
      <c r="I416" s="5">
        <v>7.4850081465574259E-2</v>
      </c>
      <c r="J416">
        <f>Table_3[[#This Row],[Price of One Product]]*Table_3[[#This Row],[No of Products in one Sale]]*(1-Table_3[[#This Row],[Discount]])</f>
        <v>693.86243890081926</v>
      </c>
      <c r="O416">
        <v>693.86243890081926</v>
      </c>
      <c r="P416">
        <v>7.4850081465574259E-2</v>
      </c>
    </row>
    <row r="417" spans="1:16" ht="14.25" customHeight="1">
      <c r="A417" s="1" t="s">
        <v>502</v>
      </c>
      <c r="B417" s="1" t="s">
        <v>885</v>
      </c>
      <c r="C417" s="3">
        <v>44757</v>
      </c>
      <c r="D417" s="1" t="s">
        <v>900</v>
      </c>
      <c r="E417" s="1" t="s">
        <v>898</v>
      </c>
      <c r="F417" s="1">
        <v>130</v>
      </c>
      <c r="G417" s="1" t="s">
        <v>1</v>
      </c>
      <c r="H417" s="4">
        <v>4</v>
      </c>
      <c r="I417" s="5">
        <v>0.4623515242530305</v>
      </c>
      <c r="J417">
        <f>Table_3[[#This Row],[Price of One Product]]*Table_3[[#This Row],[No of Products in one Sale]]*(1-Table_3[[#This Row],[Discount]])</f>
        <v>279.57720738842414</v>
      </c>
      <c r="O417">
        <v>279.57720738842414</v>
      </c>
      <c r="P417">
        <v>0.4623515242530305</v>
      </c>
    </row>
    <row r="418" spans="1:16" ht="14.25" customHeight="1">
      <c r="A418" s="1" t="s">
        <v>503</v>
      </c>
      <c r="B418" s="1" t="s">
        <v>886</v>
      </c>
      <c r="C418" s="3">
        <v>44745</v>
      </c>
      <c r="D418" s="1" t="s">
        <v>895</v>
      </c>
      <c r="E418" s="1" t="s">
        <v>896</v>
      </c>
      <c r="F418" s="1">
        <v>72</v>
      </c>
      <c r="G418" s="1" t="s">
        <v>2</v>
      </c>
      <c r="H418" s="4">
        <v>10</v>
      </c>
      <c r="I418" s="5">
        <v>0.34462700763177134</v>
      </c>
      <c r="J418">
        <f>Table_3[[#This Row],[Price of One Product]]*Table_3[[#This Row],[No of Products in one Sale]]*(1-Table_3[[#This Row],[Discount]])</f>
        <v>471.86855450512462</v>
      </c>
      <c r="O418">
        <v>471.86855450512462</v>
      </c>
      <c r="P418">
        <v>0.34462700763177134</v>
      </c>
    </row>
    <row r="419" spans="1:16" ht="14.25" customHeight="1">
      <c r="A419" s="1" t="s">
        <v>504</v>
      </c>
      <c r="B419" s="1" t="s">
        <v>883</v>
      </c>
      <c r="C419" s="3">
        <v>44760</v>
      </c>
      <c r="D419" s="1" t="s">
        <v>897</v>
      </c>
      <c r="E419" s="1" t="s">
        <v>898</v>
      </c>
      <c r="F419" s="1">
        <v>65</v>
      </c>
      <c r="G419" s="1" t="s">
        <v>3</v>
      </c>
      <c r="H419" s="4">
        <v>7</v>
      </c>
      <c r="I419" s="5">
        <v>0.69911624131260175</v>
      </c>
      <c r="J419">
        <f>Table_3[[#This Row],[Price of One Product]]*Table_3[[#This Row],[No of Products in one Sale]]*(1-Table_3[[#This Row],[Discount]])</f>
        <v>136.90211020276621</v>
      </c>
      <c r="O419">
        <v>136.90211020276621</v>
      </c>
      <c r="P419">
        <v>0.69911624131260175</v>
      </c>
    </row>
    <row r="420" spans="1:16" ht="14.25" customHeight="1">
      <c r="A420" s="1" t="s">
        <v>505</v>
      </c>
      <c r="B420" s="1" t="s">
        <v>884</v>
      </c>
      <c r="C420" s="3">
        <v>44750</v>
      </c>
      <c r="D420" s="1" t="s">
        <v>899</v>
      </c>
      <c r="E420" s="1" t="s">
        <v>896</v>
      </c>
      <c r="F420" s="1">
        <v>250</v>
      </c>
      <c r="G420" s="1" t="s">
        <v>1</v>
      </c>
      <c r="H420" s="4">
        <v>1</v>
      </c>
      <c r="I420" s="5">
        <v>1.890946986705988E-2</v>
      </c>
      <c r="J420">
        <f>Table_3[[#This Row],[Price of One Product]]*Table_3[[#This Row],[No of Products in one Sale]]*(1-Table_3[[#This Row],[Discount]])</f>
        <v>245.27263253323503</v>
      </c>
      <c r="O420">
        <v>245.27263253323503</v>
      </c>
      <c r="P420">
        <v>1.890946986705988E-2</v>
      </c>
    </row>
    <row r="421" spans="1:16" ht="14.25" customHeight="1">
      <c r="A421" s="1" t="s">
        <v>506</v>
      </c>
      <c r="B421" s="1" t="s">
        <v>885</v>
      </c>
      <c r="C421" s="3">
        <v>44742</v>
      </c>
      <c r="D421" s="1" t="s">
        <v>900</v>
      </c>
      <c r="E421" s="1" t="s">
        <v>898</v>
      </c>
      <c r="F421" s="1">
        <v>130</v>
      </c>
      <c r="G421" s="1" t="s">
        <v>2</v>
      </c>
      <c r="H421" s="4">
        <v>5</v>
      </c>
      <c r="I421" s="5">
        <v>0.73245470088007136</v>
      </c>
      <c r="J421">
        <f>Table_3[[#This Row],[Price of One Product]]*Table_3[[#This Row],[No of Products in one Sale]]*(1-Table_3[[#This Row],[Discount]])</f>
        <v>173.90444442795362</v>
      </c>
      <c r="O421">
        <v>173.90444442795362</v>
      </c>
      <c r="P421">
        <v>0.73245470088007136</v>
      </c>
    </row>
    <row r="422" spans="1:16" ht="14.25" customHeight="1">
      <c r="A422" s="1" t="s">
        <v>507</v>
      </c>
      <c r="B422" s="1" t="s">
        <v>886</v>
      </c>
      <c r="C422" s="3">
        <v>44754</v>
      </c>
      <c r="D422" s="1" t="s">
        <v>901</v>
      </c>
      <c r="E422" s="1" t="s">
        <v>896</v>
      </c>
      <c r="F422" s="1">
        <v>60</v>
      </c>
      <c r="G422" s="1" t="s">
        <v>3</v>
      </c>
      <c r="H422" s="4">
        <v>5</v>
      </c>
      <c r="I422" s="5">
        <v>0.72297451744539321</v>
      </c>
      <c r="J422">
        <f>Table_3[[#This Row],[Price of One Product]]*Table_3[[#This Row],[No of Products in one Sale]]*(1-Table_3[[#This Row],[Discount]])</f>
        <v>83.107644766382037</v>
      </c>
      <c r="O422">
        <v>83.107644766382037</v>
      </c>
      <c r="P422">
        <v>0.72297451744539321</v>
      </c>
    </row>
    <row r="423" spans="1:16" ht="14.25" customHeight="1">
      <c r="A423" s="1" t="s">
        <v>508</v>
      </c>
      <c r="B423" s="1" t="s">
        <v>887</v>
      </c>
      <c r="C423" s="3">
        <v>44746</v>
      </c>
      <c r="D423" s="1" t="s">
        <v>895</v>
      </c>
      <c r="E423" s="1" t="s">
        <v>898</v>
      </c>
      <c r="F423" s="1">
        <v>72</v>
      </c>
      <c r="G423" s="1" t="s">
        <v>1</v>
      </c>
      <c r="H423" s="4">
        <v>9</v>
      </c>
      <c r="I423" s="5">
        <v>0.97417776505363807</v>
      </c>
      <c r="J423">
        <f>Table_3[[#This Row],[Price of One Product]]*Table_3[[#This Row],[No of Products in one Sale]]*(1-Table_3[[#This Row],[Discount]])</f>
        <v>16.732808245242531</v>
      </c>
      <c r="O423">
        <v>16.732808245242531</v>
      </c>
      <c r="P423">
        <v>0.97417776505363807</v>
      </c>
    </row>
    <row r="424" spans="1:16" ht="14.25" customHeight="1">
      <c r="A424" s="1" t="s">
        <v>509</v>
      </c>
      <c r="B424" s="1" t="s">
        <v>883</v>
      </c>
      <c r="C424" s="3">
        <v>44752</v>
      </c>
      <c r="D424" s="1" t="s">
        <v>897</v>
      </c>
      <c r="E424" s="1" t="s">
        <v>896</v>
      </c>
      <c r="F424" s="1">
        <v>65</v>
      </c>
      <c r="G424" s="1" t="s">
        <v>2</v>
      </c>
      <c r="H424" s="4">
        <v>7</v>
      </c>
      <c r="I424" s="5">
        <v>0.92441295707634297</v>
      </c>
      <c r="J424">
        <f>Table_3[[#This Row],[Price of One Product]]*Table_3[[#This Row],[No of Products in one Sale]]*(1-Table_3[[#This Row],[Discount]])</f>
        <v>34.39210453026395</v>
      </c>
      <c r="O424">
        <v>34.39210453026395</v>
      </c>
      <c r="P424">
        <v>0.92441295707634297</v>
      </c>
    </row>
    <row r="425" spans="1:16" ht="14.25" customHeight="1">
      <c r="A425" s="1" t="s">
        <v>510</v>
      </c>
      <c r="B425" s="1" t="s">
        <v>884</v>
      </c>
      <c r="C425" s="3">
        <v>44725</v>
      </c>
      <c r="D425" s="1" t="s">
        <v>899</v>
      </c>
      <c r="E425" s="1" t="s">
        <v>898</v>
      </c>
      <c r="F425" s="1">
        <v>250</v>
      </c>
      <c r="G425" s="1" t="s">
        <v>3</v>
      </c>
      <c r="H425" s="4">
        <v>3</v>
      </c>
      <c r="I425" s="5">
        <v>0.34841204291363526</v>
      </c>
      <c r="J425">
        <f>Table_3[[#This Row],[Price of One Product]]*Table_3[[#This Row],[No of Products in one Sale]]*(1-Table_3[[#This Row],[Discount]])</f>
        <v>488.69096781477356</v>
      </c>
      <c r="O425">
        <v>488.69096781477356</v>
      </c>
      <c r="P425">
        <v>0.34841204291363526</v>
      </c>
    </row>
    <row r="426" spans="1:16" ht="14.25" customHeight="1">
      <c r="A426" s="1" t="s">
        <v>511</v>
      </c>
      <c r="B426" s="1" t="s">
        <v>885</v>
      </c>
      <c r="C426" s="3">
        <v>44734</v>
      </c>
      <c r="D426" s="1" t="s">
        <v>900</v>
      </c>
      <c r="E426" s="1" t="s">
        <v>896</v>
      </c>
      <c r="F426" s="1">
        <v>130</v>
      </c>
      <c r="G426" s="1" t="s">
        <v>1</v>
      </c>
      <c r="H426" s="4">
        <v>7</v>
      </c>
      <c r="I426" s="5">
        <v>0.36862795502486845</v>
      </c>
      <c r="J426">
        <f>Table_3[[#This Row],[Price of One Product]]*Table_3[[#This Row],[No of Products in one Sale]]*(1-Table_3[[#This Row],[Discount]])</f>
        <v>574.54856092736975</v>
      </c>
      <c r="O426">
        <v>574.54856092736975</v>
      </c>
      <c r="P426">
        <v>0.36862795502486845</v>
      </c>
    </row>
    <row r="427" spans="1:16" ht="14.25" customHeight="1">
      <c r="A427" s="1" t="s">
        <v>512</v>
      </c>
      <c r="B427" s="1" t="s">
        <v>886</v>
      </c>
      <c r="C427" s="3">
        <v>44761</v>
      </c>
      <c r="D427" s="1" t="s">
        <v>895</v>
      </c>
      <c r="E427" s="1" t="s">
        <v>898</v>
      </c>
      <c r="F427" s="1">
        <v>72</v>
      </c>
      <c r="G427" s="1" t="s">
        <v>2</v>
      </c>
      <c r="H427" s="4">
        <v>12</v>
      </c>
      <c r="I427" s="5">
        <v>0.38279600115505574</v>
      </c>
      <c r="J427">
        <f>Table_3[[#This Row],[Price of One Product]]*Table_3[[#This Row],[No of Products in one Sale]]*(1-Table_3[[#This Row],[Discount]])</f>
        <v>533.26425500203186</v>
      </c>
      <c r="O427">
        <v>533.26425500203186</v>
      </c>
      <c r="P427">
        <v>0.38279600115505574</v>
      </c>
    </row>
    <row r="428" spans="1:16" ht="14.25" customHeight="1">
      <c r="A428" s="1" t="s">
        <v>513</v>
      </c>
      <c r="B428" s="1" t="s">
        <v>883</v>
      </c>
      <c r="C428" s="3">
        <v>44735</v>
      </c>
      <c r="D428" s="1" t="s">
        <v>897</v>
      </c>
      <c r="E428" s="1" t="s">
        <v>896</v>
      </c>
      <c r="F428" s="1">
        <v>65</v>
      </c>
      <c r="G428" s="1" t="s">
        <v>3</v>
      </c>
      <c r="H428" s="4">
        <v>7</v>
      </c>
      <c r="I428" s="5">
        <v>0.77278161923763322</v>
      </c>
      <c r="J428">
        <f>Table_3[[#This Row],[Price of One Product]]*Table_3[[#This Row],[No of Products in one Sale]]*(1-Table_3[[#This Row],[Discount]])</f>
        <v>103.38436324687689</v>
      </c>
      <c r="O428">
        <v>103.38436324687689</v>
      </c>
      <c r="P428">
        <v>0.77278161923763322</v>
      </c>
    </row>
    <row r="429" spans="1:16" ht="14.25" customHeight="1">
      <c r="A429" s="1" t="s">
        <v>514</v>
      </c>
      <c r="B429" s="1" t="s">
        <v>884</v>
      </c>
      <c r="C429" s="3">
        <v>44753</v>
      </c>
      <c r="D429" s="1" t="s">
        <v>899</v>
      </c>
      <c r="E429" s="1" t="s">
        <v>898</v>
      </c>
      <c r="F429" s="1">
        <v>250</v>
      </c>
      <c r="G429" s="1" t="s">
        <v>1</v>
      </c>
      <c r="H429" s="4">
        <v>3</v>
      </c>
      <c r="I429" s="5">
        <v>0.98194581947705439</v>
      </c>
      <c r="J429">
        <f>Table_3[[#This Row],[Price of One Product]]*Table_3[[#This Row],[No of Products in one Sale]]*(1-Table_3[[#This Row],[Discount]])</f>
        <v>13.540635392209206</v>
      </c>
      <c r="O429">
        <v>13.540635392209206</v>
      </c>
      <c r="P429">
        <v>0.98194581947705439</v>
      </c>
    </row>
    <row r="430" spans="1:16" ht="14.25" customHeight="1">
      <c r="A430" s="1" t="s">
        <v>515</v>
      </c>
      <c r="B430" s="1" t="s">
        <v>885</v>
      </c>
      <c r="C430" s="3">
        <v>44732</v>
      </c>
      <c r="D430" s="1" t="s">
        <v>900</v>
      </c>
      <c r="E430" s="1" t="s">
        <v>896</v>
      </c>
      <c r="F430" s="1">
        <v>130</v>
      </c>
      <c r="G430" s="1" t="s">
        <v>2</v>
      </c>
      <c r="H430" s="4">
        <v>6</v>
      </c>
      <c r="I430" s="5">
        <v>0.24372632968767749</v>
      </c>
      <c r="J430">
        <f>Table_3[[#This Row],[Price of One Product]]*Table_3[[#This Row],[No of Products in one Sale]]*(1-Table_3[[#This Row],[Discount]])</f>
        <v>589.89346284361159</v>
      </c>
      <c r="O430">
        <v>589.89346284361159</v>
      </c>
      <c r="P430">
        <v>0.24372632968767749</v>
      </c>
    </row>
    <row r="431" spans="1:16" ht="14.25" customHeight="1">
      <c r="A431" s="1" t="s">
        <v>516</v>
      </c>
      <c r="B431" s="1" t="s">
        <v>886</v>
      </c>
      <c r="C431" s="3">
        <v>44748</v>
      </c>
      <c r="D431" s="1" t="s">
        <v>901</v>
      </c>
      <c r="E431" s="1" t="s">
        <v>898</v>
      </c>
      <c r="F431" s="1">
        <v>60</v>
      </c>
      <c r="G431" s="1" t="s">
        <v>3</v>
      </c>
      <c r="H431" s="4">
        <v>14</v>
      </c>
      <c r="I431" s="5">
        <v>0.50977491571581557</v>
      </c>
      <c r="J431">
        <f>Table_3[[#This Row],[Price of One Product]]*Table_3[[#This Row],[No of Products in one Sale]]*(1-Table_3[[#This Row],[Discount]])</f>
        <v>411.78907079871493</v>
      </c>
      <c r="O431">
        <v>411.78907079871493</v>
      </c>
      <c r="P431">
        <v>0.50977491571581557</v>
      </c>
    </row>
    <row r="432" spans="1:16" ht="14.25" customHeight="1">
      <c r="A432" s="1" t="s">
        <v>517</v>
      </c>
      <c r="B432" s="1" t="s">
        <v>887</v>
      </c>
      <c r="C432" s="3">
        <v>44731</v>
      </c>
      <c r="D432" s="1" t="s">
        <v>902</v>
      </c>
      <c r="E432" s="1" t="s">
        <v>896</v>
      </c>
      <c r="F432" s="1">
        <v>95</v>
      </c>
      <c r="G432" s="1" t="s">
        <v>1</v>
      </c>
      <c r="H432" s="4">
        <v>7</v>
      </c>
      <c r="I432" s="5">
        <v>0.99123744515485723</v>
      </c>
      <c r="J432">
        <f>Table_3[[#This Row],[Price of One Product]]*Table_3[[#This Row],[No of Products in one Sale]]*(1-Table_3[[#This Row],[Discount]])</f>
        <v>5.8270989720199404</v>
      </c>
      <c r="O432">
        <v>5.8270989720199404</v>
      </c>
      <c r="P432">
        <v>0.99123744515485723</v>
      </c>
    </row>
    <row r="433" spans="1:16" ht="14.25" customHeight="1">
      <c r="A433" s="1" t="s">
        <v>518</v>
      </c>
      <c r="B433" s="1" t="s">
        <v>888</v>
      </c>
      <c r="C433" s="3">
        <v>44725</v>
      </c>
      <c r="D433" s="1" t="s">
        <v>895</v>
      </c>
      <c r="E433" s="1" t="s">
        <v>898</v>
      </c>
      <c r="F433" s="1">
        <v>72</v>
      </c>
      <c r="G433" s="1" t="s">
        <v>2</v>
      </c>
      <c r="H433" s="4">
        <v>5</v>
      </c>
      <c r="I433" s="5">
        <v>0.58001027642401182</v>
      </c>
      <c r="J433">
        <f>Table_3[[#This Row],[Price of One Product]]*Table_3[[#This Row],[No of Products in one Sale]]*(1-Table_3[[#This Row],[Discount]])</f>
        <v>151.19630048735576</v>
      </c>
      <c r="O433">
        <v>151.19630048735576</v>
      </c>
      <c r="P433">
        <v>0.58001027642401182</v>
      </c>
    </row>
    <row r="434" spans="1:16" ht="14.25" customHeight="1">
      <c r="A434" s="1" t="s">
        <v>519</v>
      </c>
      <c r="B434" s="1" t="s">
        <v>883</v>
      </c>
      <c r="C434" s="3">
        <v>44753</v>
      </c>
      <c r="D434" s="1" t="s">
        <v>897</v>
      </c>
      <c r="E434" s="1" t="s">
        <v>898</v>
      </c>
      <c r="F434" s="1">
        <v>65</v>
      </c>
      <c r="G434" s="1" t="s">
        <v>3</v>
      </c>
      <c r="H434" s="4">
        <v>8</v>
      </c>
      <c r="I434" s="5">
        <v>0.20099809520802481</v>
      </c>
      <c r="J434">
        <f>Table_3[[#This Row],[Price of One Product]]*Table_3[[#This Row],[No of Products in one Sale]]*(1-Table_3[[#This Row],[Discount]])</f>
        <v>415.48099049182713</v>
      </c>
      <c r="O434">
        <v>415.48099049182713</v>
      </c>
      <c r="P434">
        <v>0.20099809520802481</v>
      </c>
    </row>
    <row r="435" spans="1:16" ht="14.25" customHeight="1">
      <c r="A435" s="1" t="s">
        <v>520</v>
      </c>
      <c r="B435" s="1" t="s">
        <v>884</v>
      </c>
      <c r="C435" s="3">
        <v>44738</v>
      </c>
      <c r="D435" s="1" t="s">
        <v>899</v>
      </c>
      <c r="E435" s="1" t="s">
        <v>898</v>
      </c>
      <c r="F435" s="1">
        <v>250</v>
      </c>
      <c r="G435" s="1" t="s">
        <v>1</v>
      </c>
      <c r="H435" s="4">
        <v>3</v>
      </c>
      <c r="I435" s="5">
        <v>8.7589082057090373E-2</v>
      </c>
      <c r="J435">
        <f>Table_3[[#This Row],[Price of One Product]]*Table_3[[#This Row],[No of Products in one Sale]]*(1-Table_3[[#This Row],[Discount]])</f>
        <v>684.30818845718227</v>
      </c>
      <c r="O435">
        <v>684.30818845718227</v>
      </c>
      <c r="P435">
        <v>8.7589082057090373E-2</v>
      </c>
    </row>
    <row r="436" spans="1:16" ht="14.25" customHeight="1">
      <c r="A436" s="1" t="s">
        <v>521</v>
      </c>
      <c r="B436" s="1" t="s">
        <v>885</v>
      </c>
      <c r="C436" s="3">
        <v>44762</v>
      </c>
      <c r="D436" s="1" t="s">
        <v>900</v>
      </c>
      <c r="E436" s="1" t="s">
        <v>898</v>
      </c>
      <c r="F436" s="1">
        <v>130</v>
      </c>
      <c r="G436" s="1" t="s">
        <v>2</v>
      </c>
      <c r="H436" s="4">
        <v>4</v>
      </c>
      <c r="I436" s="5">
        <v>0.92203517798439572</v>
      </c>
      <c r="J436">
        <f>Table_3[[#This Row],[Price of One Product]]*Table_3[[#This Row],[No of Products in one Sale]]*(1-Table_3[[#This Row],[Discount]])</f>
        <v>40.541707448114231</v>
      </c>
      <c r="O436">
        <v>40.541707448114231</v>
      </c>
      <c r="P436">
        <v>0.92203517798439572</v>
      </c>
    </row>
    <row r="437" spans="1:16" ht="14.25" customHeight="1">
      <c r="A437" s="1" t="s">
        <v>522</v>
      </c>
      <c r="B437" s="1" t="s">
        <v>886</v>
      </c>
      <c r="C437" s="3">
        <v>44756</v>
      </c>
      <c r="D437" s="1" t="s">
        <v>895</v>
      </c>
      <c r="E437" s="1" t="s">
        <v>898</v>
      </c>
      <c r="F437" s="1">
        <v>72</v>
      </c>
      <c r="G437" s="1" t="s">
        <v>3</v>
      </c>
      <c r="H437" s="4">
        <v>10</v>
      </c>
      <c r="I437" s="5">
        <v>0.40646951216415605</v>
      </c>
      <c r="J437">
        <f>Table_3[[#This Row],[Price of One Product]]*Table_3[[#This Row],[No of Products in one Sale]]*(1-Table_3[[#This Row],[Discount]])</f>
        <v>427.34195124180764</v>
      </c>
      <c r="O437">
        <v>427.34195124180764</v>
      </c>
      <c r="P437">
        <v>0.40646951216415605</v>
      </c>
    </row>
    <row r="438" spans="1:16" ht="14.25" customHeight="1">
      <c r="A438" s="1" t="s">
        <v>523</v>
      </c>
      <c r="B438" s="1" t="s">
        <v>883</v>
      </c>
      <c r="C438" s="3">
        <v>44744</v>
      </c>
      <c r="D438" s="1" t="s">
        <v>897</v>
      </c>
      <c r="E438" s="1" t="s">
        <v>896</v>
      </c>
      <c r="F438" s="1">
        <v>65</v>
      </c>
      <c r="G438" s="1" t="s">
        <v>1</v>
      </c>
      <c r="H438" s="4">
        <v>4</v>
      </c>
      <c r="I438" s="5">
        <v>0.45522048494031297</v>
      </c>
      <c r="J438">
        <f>Table_3[[#This Row],[Price of One Product]]*Table_3[[#This Row],[No of Products in one Sale]]*(1-Table_3[[#This Row],[Discount]])</f>
        <v>141.64267391551863</v>
      </c>
      <c r="O438">
        <v>141.64267391551863</v>
      </c>
      <c r="P438">
        <v>0.45522048494031297</v>
      </c>
    </row>
    <row r="439" spans="1:16" ht="14.25" customHeight="1">
      <c r="A439" s="1" t="s">
        <v>524</v>
      </c>
      <c r="B439" s="1" t="s">
        <v>884</v>
      </c>
      <c r="C439" s="3">
        <v>44753</v>
      </c>
      <c r="D439" s="1" t="s">
        <v>899</v>
      </c>
      <c r="E439" s="1" t="s">
        <v>898</v>
      </c>
      <c r="F439" s="1">
        <v>250</v>
      </c>
      <c r="G439" s="1" t="s">
        <v>2</v>
      </c>
      <c r="H439" s="4">
        <v>3</v>
      </c>
      <c r="I439" s="5">
        <v>0.45514828780898176</v>
      </c>
      <c r="J439">
        <f>Table_3[[#This Row],[Price of One Product]]*Table_3[[#This Row],[No of Products in one Sale]]*(1-Table_3[[#This Row],[Discount]])</f>
        <v>408.63878414326371</v>
      </c>
      <c r="O439">
        <v>408.63878414326371</v>
      </c>
      <c r="P439">
        <v>0.45514828780898176</v>
      </c>
    </row>
    <row r="440" spans="1:16" ht="14.25" customHeight="1">
      <c r="A440" s="1" t="s">
        <v>525</v>
      </c>
      <c r="B440" s="1" t="s">
        <v>885</v>
      </c>
      <c r="C440" s="3">
        <v>44762</v>
      </c>
      <c r="D440" s="1" t="s">
        <v>900</v>
      </c>
      <c r="E440" s="1" t="s">
        <v>896</v>
      </c>
      <c r="F440" s="1">
        <v>130</v>
      </c>
      <c r="G440" s="1" t="s">
        <v>3</v>
      </c>
      <c r="H440" s="4">
        <v>2</v>
      </c>
      <c r="I440" s="5">
        <v>0.30126486834826394</v>
      </c>
      <c r="J440">
        <f>Table_3[[#This Row],[Price of One Product]]*Table_3[[#This Row],[No of Products in one Sale]]*(1-Table_3[[#This Row],[Discount]])</f>
        <v>181.67113422945138</v>
      </c>
      <c r="O440">
        <v>181.67113422945138</v>
      </c>
      <c r="P440">
        <v>0.30126486834826394</v>
      </c>
    </row>
    <row r="441" spans="1:16" ht="14.25" customHeight="1">
      <c r="A441" s="1" t="s">
        <v>526</v>
      </c>
      <c r="B441" s="1" t="s">
        <v>886</v>
      </c>
      <c r="C441" s="3">
        <v>44740</v>
      </c>
      <c r="D441" s="1" t="s">
        <v>901</v>
      </c>
      <c r="E441" s="1" t="s">
        <v>898</v>
      </c>
      <c r="F441" s="1">
        <v>60</v>
      </c>
      <c r="G441" s="1" t="s">
        <v>1</v>
      </c>
      <c r="H441" s="4">
        <v>4</v>
      </c>
      <c r="I441" s="5">
        <v>0.22886312078587356</v>
      </c>
      <c r="J441">
        <f>Table_3[[#This Row],[Price of One Product]]*Table_3[[#This Row],[No of Products in one Sale]]*(1-Table_3[[#This Row],[Discount]])</f>
        <v>185.07285101139036</v>
      </c>
      <c r="O441">
        <v>185.07285101139036</v>
      </c>
      <c r="P441">
        <v>0.22886312078587356</v>
      </c>
    </row>
    <row r="442" spans="1:16" ht="14.25" customHeight="1">
      <c r="A442" s="1" t="s">
        <v>527</v>
      </c>
      <c r="B442" s="1" t="s">
        <v>887</v>
      </c>
      <c r="C442" s="3">
        <v>44729</v>
      </c>
      <c r="D442" s="1" t="s">
        <v>895</v>
      </c>
      <c r="E442" s="1" t="s">
        <v>896</v>
      </c>
      <c r="F442" s="1">
        <v>72</v>
      </c>
      <c r="G442" s="1" t="s">
        <v>2</v>
      </c>
      <c r="H442" s="4">
        <v>4</v>
      </c>
      <c r="I442" s="5">
        <v>0.4885587902090005</v>
      </c>
      <c r="J442">
        <f>Table_3[[#This Row],[Price of One Product]]*Table_3[[#This Row],[No of Products in one Sale]]*(1-Table_3[[#This Row],[Discount]])</f>
        <v>147.29506841980785</v>
      </c>
      <c r="O442">
        <v>147.29506841980785</v>
      </c>
      <c r="P442">
        <v>0.4885587902090005</v>
      </c>
    </row>
    <row r="443" spans="1:16" ht="14.25" customHeight="1">
      <c r="A443" s="1" t="s">
        <v>528</v>
      </c>
      <c r="B443" s="1" t="s">
        <v>883</v>
      </c>
      <c r="C443" s="3">
        <v>44727</v>
      </c>
      <c r="D443" s="1" t="s">
        <v>897</v>
      </c>
      <c r="E443" s="1" t="s">
        <v>898</v>
      </c>
      <c r="F443" s="1">
        <v>65</v>
      </c>
      <c r="G443" s="1" t="s">
        <v>3</v>
      </c>
      <c r="H443" s="4">
        <v>7</v>
      </c>
      <c r="I443" s="5">
        <v>0.88301012782394861</v>
      </c>
      <c r="J443">
        <f>Table_3[[#This Row],[Price of One Product]]*Table_3[[#This Row],[No of Products in one Sale]]*(1-Table_3[[#This Row],[Discount]])</f>
        <v>53.23039184010338</v>
      </c>
      <c r="O443">
        <v>53.23039184010338</v>
      </c>
      <c r="P443">
        <v>0.88301012782394861</v>
      </c>
    </row>
    <row r="444" spans="1:16" ht="14.25" customHeight="1">
      <c r="A444" s="1" t="s">
        <v>529</v>
      </c>
      <c r="B444" s="1" t="s">
        <v>884</v>
      </c>
      <c r="C444" s="3">
        <v>44734</v>
      </c>
      <c r="D444" s="1" t="s">
        <v>899</v>
      </c>
      <c r="E444" s="1" t="s">
        <v>896</v>
      </c>
      <c r="F444" s="1">
        <v>250</v>
      </c>
      <c r="G444" s="1" t="s">
        <v>1</v>
      </c>
      <c r="H444" s="4">
        <v>2</v>
      </c>
      <c r="I444" s="5">
        <v>0.30705024398286174</v>
      </c>
      <c r="J444">
        <f>Table_3[[#This Row],[Price of One Product]]*Table_3[[#This Row],[No of Products in one Sale]]*(1-Table_3[[#This Row],[Discount]])</f>
        <v>346.47487800856914</v>
      </c>
      <c r="O444">
        <v>346.47487800856914</v>
      </c>
      <c r="P444">
        <v>0.30705024398286174</v>
      </c>
    </row>
    <row r="445" spans="1:16" ht="14.25" customHeight="1">
      <c r="A445" s="1" t="s">
        <v>530</v>
      </c>
      <c r="B445" s="1" t="s">
        <v>885</v>
      </c>
      <c r="C445" s="3">
        <v>44744</v>
      </c>
      <c r="D445" s="1" t="s">
        <v>900</v>
      </c>
      <c r="E445" s="1" t="s">
        <v>898</v>
      </c>
      <c r="F445" s="1">
        <v>130</v>
      </c>
      <c r="G445" s="1" t="s">
        <v>2</v>
      </c>
      <c r="H445" s="4">
        <v>6</v>
      </c>
      <c r="I445" s="5">
        <v>0.85704939563753491</v>
      </c>
      <c r="J445">
        <f>Table_3[[#This Row],[Price of One Product]]*Table_3[[#This Row],[No of Products in one Sale]]*(1-Table_3[[#This Row],[Discount]])</f>
        <v>111.50147140272277</v>
      </c>
      <c r="O445">
        <v>111.50147140272277</v>
      </c>
      <c r="P445">
        <v>0.85704939563753491</v>
      </c>
    </row>
    <row r="446" spans="1:16" ht="14.25" customHeight="1">
      <c r="A446" s="1" t="s">
        <v>531</v>
      </c>
      <c r="B446" s="1" t="s">
        <v>886</v>
      </c>
      <c r="C446" s="3">
        <v>44737</v>
      </c>
      <c r="D446" s="1" t="s">
        <v>895</v>
      </c>
      <c r="E446" s="1" t="s">
        <v>896</v>
      </c>
      <c r="F446" s="1">
        <v>72</v>
      </c>
      <c r="G446" s="1" t="s">
        <v>3</v>
      </c>
      <c r="H446" s="4">
        <v>9</v>
      </c>
      <c r="I446" s="5">
        <v>0.29159802445516347</v>
      </c>
      <c r="J446">
        <f>Table_3[[#This Row],[Price of One Product]]*Table_3[[#This Row],[No of Products in one Sale]]*(1-Table_3[[#This Row],[Discount]])</f>
        <v>459.04448015305405</v>
      </c>
      <c r="O446">
        <v>459.04448015305405</v>
      </c>
      <c r="P446">
        <v>0.29159802445516347</v>
      </c>
    </row>
    <row r="447" spans="1:16" ht="14.25" customHeight="1">
      <c r="A447" s="1" t="s">
        <v>532</v>
      </c>
      <c r="B447" s="1" t="s">
        <v>883</v>
      </c>
      <c r="C447" s="3">
        <v>44752</v>
      </c>
      <c r="D447" s="1" t="s">
        <v>897</v>
      </c>
      <c r="E447" s="1" t="s">
        <v>898</v>
      </c>
      <c r="F447" s="1">
        <v>65</v>
      </c>
      <c r="G447" s="1" t="s">
        <v>1</v>
      </c>
      <c r="H447" s="4">
        <v>9</v>
      </c>
      <c r="I447" s="5">
        <v>0.2589445683285162</v>
      </c>
      <c r="J447">
        <f>Table_3[[#This Row],[Price of One Product]]*Table_3[[#This Row],[No of Products in one Sale]]*(1-Table_3[[#This Row],[Discount]])</f>
        <v>433.51742752781803</v>
      </c>
      <c r="O447">
        <v>433.51742752781803</v>
      </c>
      <c r="P447">
        <v>0.2589445683285162</v>
      </c>
    </row>
    <row r="448" spans="1:16" ht="14.25" customHeight="1">
      <c r="A448" s="1" t="s">
        <v>533</v>
      </c>
      <c r="B448" s="1" t="s">
        <v>884</v>
      </c>
      <c r="C448" s="3">
        <v>44736</v>
      </c>
      <c r="D448" s="1" t="s">
        <v>899</v>
      </c>
      <c r="E448" s="1" t="s">
        <v>896</v>
      </c>
      <c r="F448" s="1">
        <v>250</v>
      </c>
      <c r="G448" s="1" t="s">
        <v>2</v>
      </c>
      <c r="H448" s="4">
        <v>2</v>
      </c>
      <c r="I448" s="5">
        <v>0.2954209948681138</v>
      </c>
      <c r="J448">
        <f>Table_3[[#This Row],[Price of One Product]]*Table_3[[#This Row],[No of Products in one Sale]]*(1-Table_3[[#This Row],[Discount]])</f>
        <v>352.28950256594311</v>
      </c>
      <c r="O448">
        <v>352.28950256594311</v>
      </c>
      <c r="P448">
        <v>0.2954209948681138</v>
      </c>
    </row>
    <row r="449" spans="1:16" ht="14.25" customHeight="1">
      <c r="A449" s="1" t="s">
        <v>534</v>
      </c>
      <c r="B449" s="1" t="s">
        <v>885</v>
      </c>
      <c r="C449" s="3">
        <v>44752</v>
      </c>
      <c r="D449" s="1" t="s">
        <v>900</v>
      </c>
      <c r="E449" s="1" t="s">
        <v>898</v>
      </c>
      <c r="F449" s="1">
        <v>130</v>
      </c>
      <c r="G449" s="1" t="s">
        <v>3</v>
      </c>
      <c r="H449" s="4">
        <v>2</v>
      </c>
      <c r="I449" s="5">
        <v>7.4202009604403041E-2</v>
      </c>
      <c r="J449">
        <f>Table_3[[#This Row],[Price of One Product]]*Table_3[[#This Row],[No of Products in one Sale]]*(1-Table_3[[#This Row],[Discount]])</f>
        <v>240.7074775028552</v>
      </c>
      <c r="O449">
        <v>240.7074775028552</v>
      </c>
      <c r="P449">
        <v>7.4202009604403041E-2</v>
      </c>
    </row>
    <row r="450" spans="1:16" ht="14.25" customHeight="1">
      <c r="A450" s="1" t="s">
        <v>535</v>
      </c>
      <c r="B450" s="1" t="s">
        <v>886</v>
      </c>
      <c r="C450" s="3">
        <v>44759</v>
      </c>
      <c r="D450" s="1" t="s">
        <v>901</v>
      </c>
      <c r="E450" s="1" t="s">
        <v>896</v>
      </c>
      <c r="F450" s="1">
        <v>60</v>
      </c>
      <c r="G450" s="1" t="s">
        <v>1</v>
      </c>
      <c r="H450" s="4">
        <v>11</v>
      </c>
      <c r="I450" s="5">
        <v>3.9067003401354383E-2</v>
      </c>
      <c r="J450">
        <f>Table_3[[#This Row],[Price of One Product]]*Table_3[[#This Row],[No of Products in one Sale]]*(1-Table_3[[#This Row],[Discount]])</f>
        <v>634.21577775510616</v>
      </c>
      <c r="O450">
        <v>634.21577775510616</v>
      </c>
      <c r="P450">
        <v>3.9067003401354383E-2</v>
      </c>
    </row>
    <row r="451" spans="1:16" ht="14.25" customHeight="1">
      <c r="A451" s="1" t="s">
        <v>536</v>
      </c>
      <c r="B451" s="1" t="s">
        <v>887</v>
      </c>
      <c r="C451" s="3">
        <v>44763</v>
      </c>
      <c r="D451" s="1" t="s">
        <v>902</v>
      </c>
      <c r="E451" s="1" t="s">
        <v>898</v>
      </c>
      <c r="F451" s="1">
        <v>95</v>
      </c>
      <c r="G451" s="1" t="s">
        <v>2</v>
      </c>
      <c r="H451" s="4">
        <v>4</v>
      </c>
      <c r="I451" s="5">
        <v>0.76468504660372305</v>
      </c>
      <c r="J451">
        <f>Table_3[[#This Row],[Price of One Product]]*Table_3[[#This Row],[No of Products in one Sale]]*(1-Table_3[[#This Row],[Discount]])</f>
        <v>89.419682290585243</v>
      </c>
      <c r="O451">
        <v>89.419682290585243</v>
      </c>
      <c r="P451">
        <v>0.76468504660372305</v>
      </c>
    </row>
    <row r="452" spans="1:16" ht="14.25" customHeight="1">
      <c r="A452" s="1" t="s">
        <v>537</v>
      </c>
      <c r="B452" s="1" t="s">
        <v>888</v>
      </c>
      <c r="C452" s="3">
        <v>44763</v>
      </c>
      <c r="D452" s="1" t="s">
        <v>895</v>
      </c>
      <c r="E452" s="1" t="s">
        <v>896</v>
      </c>
      <c r="F452" s="1">
        <v>72</v>
      </c>
      <c r="G452" s="1" t="s">
        <v>3</v>
      </c>
      <c r="H452" s="4">
        <v>11</v>
      </c>
      <c r="I452" s="5">
        <v>0.74867480539232067</v>
      </c>
      <c r="J452">
        <f>Table_3[[#This Row],[Price of One Product]]*Table_3[[#This Row],[No of Products in one Sale]]*(1-Table_3[[#This Row],[Discount]])</f>
        <v>199.04955412928203</v>
      </c>
      <c r="O452">
        <v>199.04955412928203</v>
      </c>
      <c r="P452">
        <v>0.74867480539232067</v>
      </c>
    </row>
    <row r="453" spans="1:16" ht="14.25" customHeight="1">
      <c r="A453" s="1" t="s">
        <v>538</v>
      </c>
      <c r="B453" s="1" t="s">
        <v>883</v>
      </c>
      <c r="C453" s="3">
        <v>44750</v>
      </c>
      <c r="D453" s="1" t="s">
        <v>897</v>
      </c>
      <c r="E453" s="1" t="s">
        <v>898</v>
      </c>
      <c r="F453" s="1">
        <v>65</v>
      </c>
      <c r="G453" s="1" t="s">
        <v>1</v>
      </c>
      <c r="H453" s="4">
        <v>6</v>
      </c>
      <c r="I453" s="5">
        <v>0.69300939202757139</v>
      </c>
      <c r="J453">
        <f>Table_3[[#This Row],[Price of One Product]]*Table_3[[#This Row],[No of Products in one Sale]]*(1-Table_3[[#This Row],[Discount]])</f>
        <v>119.72633710924715</v>
      </c>
      <c r="O453">
        <v>119.72633710924715</v>
      </c>
      <c r="P453">
        <v>0.69300939202757139</v>
      </c>
    </row>
    <row r="454" spans="1:16" ht="14.25" customHeight="1">
      <c r="A454" s="1" t="s">
        <v>539</v>
      </c>
      <c r="B454" s="1" t="s">
        <v>884</v>
      </c>
      <c r="C454" s="3">
        <v>44751</v>
      </c>
      <c r="D454" s="1" t="s">
        <v>899</v>
      </c>
      <c r="E454" s="1" t="s">
        <v>896</v>
      </c>
      <c r="F454" s="1">
        <v>250</v>
      </c>
      <c r="G454" s="1" t="s">
        <v>2</v>
      </c>
      <c r="H454" s="4">
        <v>1</v>
      </c>
      <c r="I454" s="5">
        <v>0.52937391222103747</v>
      </c>
      <c r="J454">
        <f>Table_3[[#This Row],[Price of One Product]]*Table_3[[#This Row],[No of Products in one Sale]]*(1-Table_3[[#This Row],[Discount]])</f>
        <v>117.65652194474063</v>
      </c>
      <c r="O454">
        <v>117.65652194474063</v>
      </c>
      <c r="P454">
        <v>0.52937391222103747</v>
      </c>
    </row>
    <row r="455" spans="1:16" ht="14.25" customHeight="1">
      <c r="A455" s="1" t="s">
        <v>540</v>
      </c>
      <c r="B455" s="1" t="s">
        <v>885</v>
      </c>
      <c r="C455" s="3">
        <v>44736</v>
      </c>
      <c r="D455" s="1" t="s">
        <v>900</v>
      </c>
      <c r="E455" s="1" t="s">
        <v>898</v>
      </c>
      <c r="F455" s="1">
        <v>130</v>
      </c>
      <c r="G455" s="1" t="s">
        <v>3</v>
      </c>
      <c r="H455" s="4">
        <v>3</v>
      </c>
      <c r="I455" s="5">
        <v>0.32413514859934134</v>
      </c>
      <c r="J455">
        <f>Table_3[[#This Row],[Price of One Product]]*Table_3[[#This Row],[No of Products in one Sale]]*(1-Table_3[[#This Row],[Discount]])</f>
        <v>263.58729204625689</v>
      </c>
      <c r="O455">
        <v>263.58729204625689</v>
      </c>
      <c r="P455">
        <v>0.32413514859934134</v>
      </c>
    </row>
    <row r="456" spans="1:16" ht="14.25" customHeight="1">
      <c r="A456" s="1" t="s">
        <v>541</v>
      </c>
      <c r="B456" s="1" t="s">
        <v>886</v>
      </c>
      <c r="C456" s="3">
        <v>44737</v>
      </c>
      <c r="D456" s="1" t="s">
        <v>895</v>
      </c>
      <c r="E456" s="1" t="s">
        <v>898</v>
      </c>
      <c r="F456" s="1">
        <v>72</v>
      </c>
      <c r="G456" s="1" t="s">
        <v>1</v>
      </c>
      <c r="H456" s="4">
        <v>4</v>
      </c>
      <c r="I456" s="5">
        <v>0.35907775149399723</v>
      </c>
      <c r="J456">
        <f>Table_3[[#This Row],[Price of One Product]]*Table_3[[#This Row],[No of Products in one Sale]]*(1-Table_3[[#This Row],[Discount]])</f>
        <v>184.58560756972881</v>
      </c>
      <c r="O456">
        <v>184.58560756972881</v>
      </c>
      <c r="P456">
        <v>0.35907775149399723</v>
      </c>
    </row>
    <row r="457" spans="1:16" ht="14.25" customHeight="1">
      <c r="A457" s="1" t="s">
        <v>542</v>
      </c>
      <c r="B457" s="1" t="s">
        <v>883</v>
      </c>
      <c r="C457" s="3">
        <v>44744</v>
      </c>
      <c r="D457" s="1" t="s">
        <v>897</v>
      </c>
      <c r="E457" s="1" t="s">
        <v>898</v>
      </c>
      <c r="F457" s="1">
        <v>65</v>
      </c>
      <c r="G457" s="1" t="s">
        <v>2</v>
      </c>
      <c r="H457" s="4">
        <v>6</v>
      </c>
      <c r="I457" s="5">
        <v>0.65908590258865696</v>
      </c>
      <c r="J457">
        <f>Table_3[[#This Row],[Price of One Product]]*Table_3[[#This Row],[No of Products in one Sale]]*(1-Table_3[[#This Row],[Discount]])</f>
        <v>132.9564979904238</v>
      </c>
      <c r="O457">
        <v>132.9564979904238</v>
      </c>
      <c r="P457">
        <v>0.65908590258865696</v>
      </c>
    </row>
    <row r="458" spans="1:16" ht="14.25" customHeight="1">
      <c r="A458" s="1" t="s">
        <v>543</v>
      </c>
      <c r="B458" s="1" t="s">
        <v>884</v>
      </c>
      <c r="C458" s="3">
        <v>44735</v>
      </c>
      <c r="D458" s="1" t="s">
        <v>899</v>
      </c>
      <c r="E458" s="1" t="s">
        <v>898</v>
      </c>
      <c r="F458" s="1">
        <v>250</v>
      </c>
      <c r="G458" s="1" t="s">
        <v>3</v>
      </c>
      <c r="H458" s="4">
        <v>2</v>
      </c>
      <c r="I458" s="5">
        <v>0.51385178684784039</v>
      </c>
      <c r="J458">
        <f>Table_3[[#This Row],[Price of One Product]]*Table_3[[#This Row],[No of Products in one Sale]]*(1-Table_3[[#This Row],[Discount]])</f>
        <v>243.0741065760798</v>
      </c>
      <c r="O458">
        <v>243.0741065760798</v>
      </c>
      <c r="P458">
        <v>0.51385178684784039</v>
      </c>
    </row>
    <row r="459" spans="1:16" ht="14.25" customHeight="1">
      <c r="A459" s="1" t="s">
        <v>544</v>
      </c>
      <c r="B459" s="1" t="s">
        <v>885</v>
      </c>
      <c r="C459" s="3">
        <v>44751</v>
      </c>
      <c r="D459" s="1" t="s">
        <v>900</v>
      </c>
      <c r="E459" s="1" t="s">
        <v>898</v>
      </c>
      <c r="F459" s="1">
        <v>130</v>
      </c>
      <c r="G459" s="1" t="s">
        <v>1</v>
      </c>
      <c r="H459" s="4">
        <v>4</v>
      </c>
      <c r="I459" s="5">
        <v>0.76665009072072687</v>
      </c>
      <c r="J459">
        <f>Table_3[[#This Row],[Price of One Product]]*Table_3[[#This Row],[No of Products in one Sale]]*(1-Table_3[[#This Row],[Discount]])</f>
        <v>121.34195282522202</v>
      </c>
      <c r="O459">
        <v>121.34195282522202</v>
      </c>
      <c r="P459">
        <v>0.76665009072072687</v>
      </c>
    </row>
    <row r="460" spans="1:16" ht="14.25" customHeight="1">
      <c r="A460" s="1" t="s">
        <v>545</v>
      </c>
      <c r="B460" s="1" t="s">
        <v>886</v>
      </c>
      <c r="C460" s="3">
        <v>44726</v>
      </c>
      <c r="D460" s="1" t="s">
        <v>895</v>
      </c>
      <c r="E460" s="1" t="s">
        <v>896</v>
      </c>
      <c r="F460" s="1">
        <v>72</v>
      </c>
      <c r="G460" s="1" t="s">
        <v>2</v>
      </c>
      <c r="H460" s="4">
        <v>5</v>
      </c>
      <c r="I460" s="5">
        <v>0.73529214203054083</v>
      </c>
      <c r="J460">
        <f>Table_3[[#This Row],[Price of One Product]]*Table_3[[#This Row],[No of Products in one Sale]]*(1-Table_3[[#This Row],[Discount]])</f>
        <v>95.2948288690053</v>
      </c>
      <c r="O460">
        <v>95.2948288690053</v>
      </c>
      <c r="P460">
        <v>0.73529214203054083</v>
      </c>
    </row>
    <row r="461" spans="1:16" ht="14.25" customHeight="1">
      <c r="A461" s="1" t="s">
        <v>546</v>
      </c>
      <c r="B461" s="1" t="s">
        <v>883</v>
      </c>
      <c r="C461" s="3">
        <v>44749</v>
      </c>
      <c r="D461" s="1" t="s">
        <v>897</v>
      </c>
      <c r="E461" s="1" t="s">
        <v>898</v>
      </c>
      <c r="F461" s="1">
        <v>65</v>
      </c>
      <c r="G461" s="1" t="s">
        <v>3</v>
      </c>
      <c r="H461" s="4">
        <v>9</v>
      </c>
      <c r="I461" s="5">
        <v>0.44567996518569519</v>
      </c>
      <c r="J461">
        <f>Table_3[[#This Row],[Price of One Product]]*Table_3[[#This Row],[No of Products in one Sale]]*(1-Table_3[[#This Row],[Discount]])</f>
        <v>324.27722036636834</v>
      </c>
      <c r="O461">
        <v>324.27722036636834</v>
      </c>
      <c r="P461">
        <v>0.44567996518569519</v>
      </c>
    </row>
    <row r="462" spans="1:16" ht="14.25" customHeight="1">
      <c r="A462" s="1" t="s">
        <v>547</v>
      </c>
      <c r="B462" s="1" t="s">
        <v>884</v>
      </c>
      <c r="C462" s="3">
        <v>44734</v>
      </c>
      <c r="D462" s="1" t="s">
        <v>899</v>
      </c>
      <c r="E462" s="1" t="s">
        <v>896</v>
      </c>
      <c r="F462" s="1">
        <v>250</v>
      </c>
      <c r="G462" s="1" t="s">
        <v>3</v>
      </c>
      <c r="H462" s="4">
        <v>2</v>
      </c>
      <c r="I462" s="5">
        <v>0.80491760131950119</v>
      </c>
      <c r="J462">
        <f>Table_3[[#This Row],[Price of One Product]]*Table_3[[#This Row],[No of Products in one Sale]]*(1-Table_3[[#This Row],[Discount]])</f>
        <v>97.541199340249406</v>
      </c>
      <c r="O462">
        <v>97.541199340249406</v>
      </c>
      <c r="P462">
        <v>0.80491760131950119</v>
      </c>
    </row>
    <row r="463" spans="1:16" ht="14.25" customHeight="1">
      <c r="A463" s="1" t="s">
        <v>548</v>
      </c>
      <c r="B463" s="1" t="s">
        <v>885</v>
      </c>
      <c r="C463" s="3">
        <v>44726</v>
      </c>
      <c r="D463" s="1" t="s">
        <v>900</v>
      </c>
      <c r="E463" s="1" t="s">
        <v>898</v>
      </c>
      <c r="F463" s="1">
        <v>130</v>
      </c>
      <c r="G463" s="1" t="s">
        <v>1</v>
      </c>
      <c r="H463" s="4">
        <v>4</v>
      </c>
      <c r="I463" s="5">
        <v>0.63252724233750568</v>
      </c>
      <c r="J463">
        <f>Table_3[[#This Row],[Price of One Product]]*Table_3[[#This Row],[No of Products in one Sale]]*(1-Table_3[[#This Row],[Discount]])</f>
        <v>191.08583398449704</v>
      </c>
      <c r="O463">
        <v>191.08583398449704</v>
      </c>
      <c r="P463">
        <v>0.63252724233750568</v>
      </c>
    </row>
    <row r="464" spans="1:16" ht="14.25" customHeight="1">
      <c r="A464" s="1" t="s">
        <v>549</v>
      </c>
      <c r="B464" s="1" t="s">
        <v>886</v>
      </c>
      <c r="C464" s="3">
        <v>44743</v>
      </c>
      <c r="D464" s="1" t="s">
        <v>895</v>
      </c>
      <c r="E464" s="1" t="s">
        <v>896</v>
      </c>
      <c r="F464" s="1">
        <v>72</v>
      </c>
      <c r="G464" s="1" t="s">
        <v>2</v>
      </c>
      <c r="H464" s="4">
        <v>12</v>
      </c>
      <c r="I464" s="5">
        <v>0.54172415841062738</v>
      </c>
      <c r="J464">
        <f>Table_3[[#This Row],[Price of One Product]]*Table_3[[#This Row],[No of Products in one Sale]]*(1-Table_3[[#This Row],[Discount]])</f>
        <v>395.95032713321797</v>
      </c>
      <c r="O464">
        <v>395.95032713321797</v>
      </c>
      <c r="P464">
        <v>0.54172415841062738</v>
      </c>
    </row>
    <row r="465" spans="1:16" ht="14.25" customHeight="1">
      <c r="A465" s="1" t="s">
        <v>550</v>
      </c>
      <c r="B465" s="1" t="s">
        <v>883</v>
      </c>
      <c r="C465" s="3">
        <v>44742</v>
      </c>
      <c r="D465" s="1" t="s">
        <v>897</v>
      </c>
      <c r="E465" s="1" t="s">
        <v>898</v>
      </c>
      <c r="F465" s="1">
        <v>65</v>
      </c>
      <c r="G465" s="1" t="s">
        <v>3</v>
      </c>
      <c r="H465" s="4">
        <v>11</v>
      </c>
      <c r="I465" s="5">
        <v>0.51449622999670686</v>
      </c>
      <c r="J465">
        <f>Table_3[[#This Row],[Price of One Product]]*Table_3[[#This Row],[No of Products in one Sale]]*(1-Table_3[[#This Row],[Discount]])</f>
        <v>347.13519555235462</v>
      </c>
      <c r="O465">
        <v>347.13519555235462</v>
      </c>
      <c r="P465">
        <v>0.51449622999670686</v>
      </c>
    </row>
    <row r="466" spans="1:16" ht="14.25" customHeight="1">
      <c r="A466" s="1" t="s">
        <v>551</v>
      </c>
      <c r="B466" s="1" t="s">
        <v>884</v>
      </c>
      <c r="C466" s="3">
        <v>44747</v>
      </c>
      <c r="D466" s="1" t="s">
        <v>899</v>
      </c>
      <c r="E466" s="1" t="s">
        <v>896</v>
      </c>
      <c r="F466" s="1">
        <v>250</v>
      </c>
      <c r="G466" s="1" t="s">
        <v>1</v>
      </c>
      <c r="H466" s="4">
        <v>2</v>
      </c>
      <c r="I466" s="5">
        <v>0.23752502847518697</v>
      </c>
      <c r="J466">
        <f>Table_3[[#This Row],[Price of One Product]]*Table_3[[#This Row],[No of Products in one Sale]]*(1-Table_3[[#This Row],[Discount]])</f>
        <v>381.23748576240649</v>
      </c>
      <c r="O466">
        <v>381.23748576240649</v>
      </c>
      <c r="P466">
        <v>0.23752502847518697</v>
      </c>
    </row>
    <row r="467" spans="1:16" ht="14.25" customHeight="1">
      <c r="A467" s="1" t="s">
        <v>552</v>
      </c>
      <c r="B467" s="1" t="s">
        <v>885</v>
      </c>
      <c r="C467" s="3">
        <v>44764</v>
      </c>
      <c r="D467" s="1" t="s">
        <v>900</v>
      </c>
      <c r="E467" s="1" t="s">
        <v>898</v>
      </c>
      <c r="F467" s="1">
        <v>130</v>
      </c>
      <c r="G467" s="1" t="s">
        <v>2</v>
      </c>
      <c r="H467" s="4">
        <v>4</v>
      </c>
      <c r="I467" s="5">
        <v>0.99120610081358274</v>
      </c>
      <c r="J467">
        <f>Table_3[[#This Row],[Price of One Product]]*Table_3[[#This Row],[No of Products in one Sale]]*(1-Table_3[[#This Row],[Discount]])</f>
        <v>4.5728275769369775</v>
      </c>
      <c r="O467">
        <v>4.5728275769369775</v>
      </c>
      <c r="P467">
        <v>0.99120610081358274</v>
      </c>
    </row>
    <row r="468" spans="1:16" ht="14.25" customHeight="1">
      <c r="A468" s="1" t="s">
        <v>553</v>
      </c>
      <c r="B468" s="1" t="s">
        <v>886</v>
      </c>
      <c r="C468" s="3">
        <v>44735</v>
      </c>
      <c r="D468" s="1" t="s">
        <v>901</v>
      </c>
      <c r="E468" s="1" t="s">
        <v>896</v>
      </c>
      <c r="F468" s="1">
        <v>60</v>
      </c>
      <c r="G468" s="1" t="s">
        <v>3</v>
      </c>
      <c r="H468" s="4">
        <v>9</v>
      </c>
      <c r="I468" s="5">
        <v>0.59705890981846566</v>
      </c>
      <c r="J468">
        <f>Table_3[[#This Row],[Price of One Product]]*Table_3[[#This Row],[No of Products in one Sale]]*(1-Table_3[[#This Row],[Discount]])</f>
        <v>217.58818869802855</v>
      </c>
      <c r="O468">
        <v>217.58818869802855</v>
      </c>
      <c r="P468">
        <v>0.59705890981846566</v>
      </c>
    </row>
    <row r="469" spans="1:16" ht="14.25" customHeight="1">
      <c r="A469" s="1" t="s">
        <v>554</v>
      </c>
      <c r="B469" s="1" t="s">
        <v>887</v>
      </c>
      <c r="C469" s="3">
        <v>44737</v>
      </c>
      <c r="D469" s="1" t="s">
        <v>895</v>
      </c>
      <c r="E469" s="1" t="s">
        <v>898</v>
      </c>
      <c r="F469" s="1">
        <v>72</v>
      </c>
      <c r="G469" s="1" t="s">
        <v>1</v>
      </c>
      <c r="H469" s="4">
        <v>3</v>
      </c>
      <c r="I469" s="5">
        <v>0.47137791834027587</v>
      </c>
      <c r="J469">
        <f>Table_3[[#This Row],[Price of One Product]]*Table_3[[#This Row],[No of Products in one Sale]]*(1-Table_3[[#This Row],[Discount]])</f>
        <v>114.18236963850042</v>
      </c>
      <c r="O469">
        <v>114.18236963850042</v>
      </c>
      <c r="P469">
        <v>0.47137791834027587</v>
      </c>
    </row>
    <row r="470" spans="1:16" ht="14.25" customHeight="1">
      <c r="A470" s="1" t="s">
        <v>555</v>
      </c>
      <c r="B470" s="1" t="s">
        <v>883</v>
      </c>
      <c r="C470" s="3">
        <v>44749</v>
      </c>
      <c r="D470" s="1" t="s">
        <v>897</v>
      </c>
      <c r="E470" s="1" t="s">
        <v>896</v>
      </c>
      <c r="F470" s="1">
        <v>65</v>
      </c>
      <c r="G470" s="1" t="s">
        <v>2</v>
      </c>
      <c r="H470" s="4">
        <v>14</v>
      </c>
      <c r="I470" s="5">
        <v>0.41181740780767351</v>
      </c>
      <c r="J470">
        <f>Table_3[[#This Row],[Price of One Product]]*Table_3[[#This Row],[No of Products in one Sale]]*(1-Table_3[[#This Row],[Discount]])</f>
        <v>535.24615889501706</v>
      </c>
      <c r="O470">
        <v>535.24615889501706</v>
      </c>
      <c r="P470">
        <v>0.41181740780767351</v>
      </c>
    </row>
    <row r="471" spans="1:16" ht="14.25" customHeight="1">
      <c r="A471" s="1" t="s">
        <v>556</v>
      </c>
      <c r="B471" s="1" t="s">
        <v>884</v>
      </c>
      <c r="C471" s="3">
        <v>44729</v>
      </c>
      <c r="D471" s="1" t="s">
        <v>899</v>
      </c>
      <c r="E471" s="1" t="s">
        <v>898</v>
      </c>
      <c r="F471" s="1">
        <v>250</v>
      </c>
      <c r="G471" s="1" t="s">
        <v>3</v>
      </c>
      <c r="H471" s="4">
        <v>3</v>
      </c>
      <c r="I471" s="5">
        <v>7.2014892327985192E-2</v>
      </c>
      <c r="J471">
        <f>Table_3[[#This Row],[Price of One Product]]*Table_3[[#This Row],[No of Products in one Sale]]*(1-Table_3[[#This Row],[Discount]])</f>
        <v>695.98883075401113</v>
      </c>
      <c r="O471">
        <v>695.98883075401113</v>
      </c>
      <c r="P471">
        <v>7.2014892327985192E-2</v>
      </c>
    </row>
    <row r="472" spans="1:16" ht="14.25" customHeight="1">
      <c r="A472" s="1" t="s">
        <v>557</v>
      </c>
      <c r="B472" s="1" t="s">
        <v>885</v>
      </c>
      <c r="C472" s="3">
        <v>44738</v>
      </c>
      <c r="D472" s="1" t="s">
        <v>900</v>
      </c>
      <c r="E472" s="1" t="s">
        <v>896</v>
      </c>
      <c r="F472" s="1">
        <v>130</v>
      </c>
      <c r="G472" s="1" t="s">
        <v>1</v>
      </c>
      <c r="H472" s="4">
        <v>7</v>
      </c>
      <c r="I472" s="5">
        <v>0.28425228592980878</v>
      </c>
      <c r="J472">
        <f>Table_3[[#This Row],[Price of One Product]]*Table_3[[#This Row],[No of Products in one Sale]]*(1-Table_3[[#This Row],[Discount]])</f>
        <v>651.33041980387407</v>
      </c>
      <c r="O472">
        <v>651.33041980387407</v>
      </c>
      <c r="P472">
        <v>0.28425228592980878</v>
      </c>
    </row>
    <row r="473" spans="1:16" ht="14.25" customHeight="1">
      <c r="A473" s="1" t="s">
        <v>558</v>
      </c>
      <c r="B473" s="1" t="s">
        <v>886</v>
      </c>
      <c r="C473" s="3">
        <v>44740</v>
      </c>
      <c r="D473" s="1" t="s">
        <v>895</v>
      </c>
      <c r="E473" s="1" t="s">
        <v>898</v>
      </c>
      <c r="F473" s="1">
        <v>72</v>
      </c>
      <c r="G473" s="1" t="s">
        <v>2</v>
      </c>
      <c r="H473" s="4">
        <v>3</v>
      </c>
      <c r="I473" s="5">
        <v>0.51473636278960266</v>
      </c>
      <c r="J473">
        <f>Table_3[[#This Row],[Price of One Product]]*Table_3[[#This Row],[No of Products in one Sale]]*(1-Table_3[[#This Row],[Discount]])</f>
        <v>104.81694563744583</v>
      </c>
      <c r="O473">
        <v>104.81694563744583</v>
      </c>
      <c r="P473">
        <v>0.51473636278960266</v>
      </c>
    </row>
    <row r="474" spans="1:16" ht="14.25" customHeight="1">
      <c r="A474" s="1" t="s">
        <v>559</v>
      </c>
      <c r="B474" s="1" t="s">
        <v>883</v>
      </c>
      <c r="C474" s="3">
        <v>44755</v>
      </c>
      <c r="D474" s="1" t="s">
        <v>897</v>
      </c>
      <c r="E474" s="1" t="s">
        <v>896</v>
      </c>
      <c r="F474" s="1">
        <v>65</v>
      </c>
      <c r="G474" s="1" t="s">
        <v>3</v>
      </c>
      <c r="H474" s="4">
        <v>7</v>
      </c>
      <c r="I474" s="5">
        <v>0.84360853679959769</v>
      </c>
      <c r="J474">
        <f>Table_3[[#This Row],[Price of One Product]]*Table_3[[#This Row],[No of Products in one Sale]]*(1-Table_3[[#This Row],[Discount]])</f>
        <v>71.158115756183051</v>
      </c>
      <c r="O474">
        <v>71.158115756183051</v>
      </c>
      <c r="P474">
        <v>0.84360853679959769</v>
      </c>
    </row>
    <row r="475" spans="1:16" ht="14.25" customHeight="1">
      <c r="A475" s="1" t="s">
        <v>560</v>
      </c>
      <c r="B475" s="1" t="s">
        <v>884</v>
      </c>
      <c r="C475" s="3">
        <v>44755</v>
      </c>
      <c r="D475" s="1" t="s">
        <v>899</v>
      </c>
      <c r="E475" s="1" t="s">
        <v>898</v>
      </c>
      <c r="F475" s="1">
        <v>250</v>
      </c>
      <c r="G475" s="1" t="s">
        <v>1</v>
      </c>
      <c r="H475" s="4">
        <v>3</v>
      </c>
      <c r="I475" s="5">
        <v>0.79410595242208182</v>
      </c>
      <c r="J475">
        <f>Table_3[[#This Row],[Price of One Product]]*Table_3[[#This Row],[No of Products in one Sale]]*(1-Table_3[[#This Row],[Discount]])</f>
        <v>154.42053568343863</v>
      </c>
      <c r="O475">
        <v>154.42053568343863</v>
      </c>
      <c r="P475">
        <v>0.79410595242208182</v>
      </c>
    </row>
    <row r="476" spans="1:16" ht="14.25" customHeight="1">
      <c r="A476" s="1" t="s">
        <v>561</v>
      </c>
      <c r="B476" s="1" t="s">
        <v>885</v>
      </c>
      <c r="C476" s="3">
        <v>44764</v>
      </c>
      <c r="D476" s="1" t="s">
        <v>900</v>
      </c>
      <c r="E476" s="1" t="s">
        <v>896</v>
      </c>
      <c r="F476" s="1">
        <v>130</v>
      </c>
      <c r="G476" s="1" t="s">
        <v>2</v>
      </c>
      <c r="H476" s="4">
        <v>4</v>
      </c>
      <c r="I476" s="5">
        <v>0.43743103077150813</v>
      </c>
      <c r="J476">
        <f>Table_3[[#This Row],[Price of One Product]]*Table_3[[#This Row],[No of Products in one Sale]]*(1-Table_3[[#This Row],[Discount]])</f>
        <v>292.53586399881578</v>
      </c>
      <c r="O476">
        <v>292.53586399881578</v>
      </c>
      <c r="P476">
        <v>0.43743103077150813</v>
      </c>
    </row>
    <row r="477" spans="1:16" ht="14.25" customHeight="1">
      <c r="A477" s="1" t="s">
        <v>562</v>
      </c>
      <c r="B477" s="1" t="s">
        <v>886</v>
      </c>
      <c r="C477" s="3">
        <v>44735</v>
      </c>
      <c r="D477" s="1" t="s">
        <v>901</v>
      </c>
      <c r="E477" s="1" t="s">
        <v>898</v>
      </c>
      <c r="F477" s="1">
        <v>60</v>
      </c>
      <c r="G477" s="1" t="s">
        <v>3</v>
      </c>
      <c r="H477" s="4">
        <v>7</v>
      </c>
      <c r="I477" s="5">
        <v>0.62414285851347806</v>
      </c>
      <c r="J477">
        <f>Table_3[[#This Row],[Price of One Product]]*Table_3[[#This Row],[No of Products in one Sale]]*(1-Table_3[[#This Row],[Discount]])</f>
        <v>157.85999942433921</v>
      </c>
      <c r="O477">
        <v>157.85999942433921</v>
      </c>
      <c r="P477">
        <v>0.62414285851347806</v>
      </c>
    </row>
    <row r="478" spans="1:16" ht="14.25" customHeight="1">
      <c r="A478" s="1" t="s">
        <v>563</v>
      </c>
      <c r="B478" s="1" t="s">
        <v>887</v>
      </c>
      <c r="C478" s="3">
        <v>44734</v>
      </c>
      <c r="D478" s="1" t="s">
        <v>902</v>
      </c>
      <c r="E478" s="1" t="s">
        <v>898</v>
      </c>
      <c r="F478" s="1">
        <v>95</v>
      </c>
      <c r="G478" s="1" t="s">
        <v>1</v>
      </c>
      <c r="H478" s="4">
        <v>4</v>
      </c>
      <c r="I478" s="5">
        <v>0.8866455913476804</v>
      </c>
      <c r="J478">
        <f>Table_3[[#This Row],[Price of One Product]]*Table_3[[#This Row],[No of Products in one Sale]]*(1-Table_3[[#This Row],[Discount]])</f>
        <v>43.074675287881448</v>
      </c>
      <c r="O478">
        <v>43.074675287881448</v>
      </c>
      <c r="P478">
        <v>0.8866455913476804</v>
      </c>
    </row>
    <row r="479" spans="1:16" ht="14.25" customHeight="1">
      <c r="A479" s="1" t="s">
        <v>564</v>
      </c>
      <c r="B479" s="1" t="s">
        <v>888</v>
      </c>
      <c r="C479" s="3">
        <v>44728</v>
      </c>
      <c r="D479" s="1" t="s">
        <v>895</v>
      </c>
      <c r="E479" s="1" t="s">
        <v>898</v>
      </c>
      <c r="F479" s="1">
        <v>72</v>
      </c>
      <c r="G479" s="1" t="s">
        <v>2</v>
      </c>
      <c r="H479" s="4">
        <v>6</v>
      </c>
      <c r="I479" s="5">
        <v>0.18359273290431566</v>
      </c>
      <c r="J479">
        <f>Table_3[[#This Row],[Price of One Product]]*Table_3[[#This Row],[No of Products in one Sale]]*(1-Table_3[[#This Row],[Discount]])</f>
        <v>352.68793938533565</v>
      </c>
      <c r="O479">
        <v>352.68793938533565</v>
      </c>
      <c r="P479">
        <v>0.18359273290431566</v>
      </c>
    </row>
    <row r="480" spans="1:16" ht="14.25" customHeight="1">
      <c r="A480" s="1" t="s">
        <v>565</v>
      </c>
      <c r="B480" s="1" t="s">
        <v>883</v>
      </c>
      <c r="C480" s="3">
        <v>44739</v>
      </c>
      <c r="D480" s="1" t="s">
        <v>897</v>
      </c>
      <c r="E480" s="1" t="s">
        <v>898</v>
      </c>
      <c r="F480" s="1">
        <v>65</v>
      </c>
      <c r="G480" s="1" t="s">
        <v>3</v>
      </c>
      <c r="H480" s="4">
        <v>5</v>
      </c>
      <c r="I480" s="5">
        <v>0.15906506531321729</v>
      </c>
      <c r="J480">
        <f>Table_3[[#This Row],[Price of One Product]]*Table_3[[#This Row],[No of Products in one Sale]]*(1-Table_3[[#This Row],[Discount]])</f>
        <v>273.30385377320437</v>
      </c>
      <c r="O480">
        <v>273.30385377320437</v>
      </c>
      <c r="P480">
        <v>0.15906506531321729</v>
      </c>
    </row>
    <row r="481" spans="1:16" ht="14.25" customHeight="1">
      <c r="A481" s="1" t="s">
        <v>566</v>
      </c>
      <c r="B481" s="1" t="s">
        <v>884</v>
      </c>
      <c r="C481" s="3">
        <v>44765</v>
      </c>
      <c r="D481" s="1" t="s">
        <v>899</v>
      </c>
      <c r="E481" s="1" t="s">
        <v>898</v>
      </c>
      <c r="F481" s="1">
        <v>250</v>
      </c>
      <c r="G481" s="1" t="s">
        <v>1</v>
      </c>
      <c r="H481" s="4">
        <v>2</v>
      </c>
      <c r="I481" s="5">
        <v>0.29466747014106187</v>
      </c>
      <c r="J481">
        <f>Table_3[[#This Row],[Price of One Product]]*Table_3[[#This Row],[No of Products in one Sale]]*(1-Table_3[[#This Row],[Discount]])</f>
        <v>352.66626492946904</v>
      </c>
      <c r="O481">
        <v>352.66626492946904</v>
      </c>
      <c r="P481">
        <v>0.29466747014106187</v>
      </c>
    </row>
    <row r="482" spans="1:16" ht="14.25" customHeight="1">
      <c r="A482" s="1" t="s">
        <v>567</v>
      </c>
      <c r="B482" s="1" t="s">
        <v>885</v>
      </c>
      <c r="C482" s="3">
        <v>44740</v>
      </c>
      <c r="D482" s="1" t="s">
        <v>900</v>
      </c>
      <c r="E482" s="1" t="s">
        <v>896</v>
      </c>
      <c r="F482" s="1">
        <v>130</v>
      </c>
      <c r="G482" s="1" t="s">
        <v>2</v>
      </c>
      <c r="H482" s="4">
        <v>2</v>
      </c>
      <c r="I482" s="5">
        <v>0.35414118605930123</v>
      </c>
      <c r="J482">
        <f>Table_3[[#This Row],[Price of One Product]]*Table_3[[#This Row],[No of Products in one Sale]]*(1-Table_3[[#This Row],[Discount]])</f>
        <v>167.92329162458168</v>
      </c>
      <c r="O482">
        <v>167.92329162458168</v>
      </c>
      <c r="P482">
        <v>0.35414118605930123</v>
      </c>
    </row>
    <row r="483" spans="1:16" ht="14.25" customHeight="1">
      <c r="A483" s="1" t="s">
        <v>568</v>
      </c>
      <c r="B483" s="1" t="s">
        <v>886</v>
      </c>
      <c r="C483" s="3">
        <v>44734</v>
      </c>
      <c r="D483" s="1" t="s">
        <v>895</v>
      </c>
      <c r="E483" s="1" t="s">
        <v>898</v>
      </c>
      <c r="F483" s="1">
        <v>72</v>
      </c>
      <c r="G483" s="1" t="s">
        <v>3</v>
      </c>
      <c r="H483" s="4">
        <v>4</v>
      </c>
      <c r="I483" s="5">
        <v>0.40463831594750665</v>
      </c>
      <c r="J483">
        <f>Table_3[[#This Row],[Price of One Product]]*Table_3[[#This Row],[No of Products in one Sale]]*(1-Table_3[[#This Row],[Discount]])</f>
        <v>171.46416500711808</v>
      </c>
      <c r="O483">
        <v>171.46416500711808</v>
      </c>
      <c r="P483">
        <v>0.40463831594750665</v>
      </c>
    </row>
    <row r="484" spans="1:16" ht="14.25" customHeight="1">
      <c r="A484" s="1" t="s">
        <v>569</v>
      </c>
      <c r="B484" s="1" t="s">
        <v>883</v>
      </c>
      <c r="C484" s="3">
        <v>44727</v>
      </c>
      <c r="D484" s="1" t="s">
        <v>897</v>
      </c>
      <c r="E484" s="1" t="s">
        <v>896</v>
      </c>
      <c r="F484" s="1">
        <v>65</v>
      </c>
      <c r="G484" s="1" t="s">
        <v>1</v>
      </c>
      <c r="H484" s="4">
        <v>10</v>
      </c>
      <c r="I484" s="5">
        <v>0.56828189926736972</v>
      </c>
      <c r="J484">
        <f>Table_3[[#This Row],[Price of One Product]]*Table_3[[#This Row],[No of Products in one Sale]]*(1-Table_3[[#This Row],[Discount]])</f>
        <v>280.61676547620971</v>
      </c>
      <c r="O484">
        <v>280.61676547620971</v>
      </c>
      <c r="P484">
        <v>0.56828189926736972</v>
      </c>
    </row>
    <row r="485" spans="1:16" ht="14.25" customHeight="1">
      <c r="A485" s="1" t="s">
        <v>570</v>
      </c>
      <c r="B485" s="1" t="s">
        <v>884</v>
      </c>
      <c r="C485" s="3">
        <v>44737</v>
      </c>
      <c r="D485" s="1" t="s">
        <v>899</v>
      </c>
      <c r="E485" s="1" t="s">
        <v>898</v>
      </c>
      <c r="F485" s="1">
        <v>250</v>
      </c>
      <c r="G485" s="1" t="s">
        <v>2</v>
      </c>
      <c r="H485" s="4">
        <v>1</v>
      </c>
      <c r="I485" s="5">
        <v>0.68415839920111321</v>
      </c>
      <c r="J485">
        <f>Table_3[[#This Row],[Price of One Product]]*Table_3[[#This Row],[No of Products in one Sale]]*(1-Table_3[[#This Row],[Discount]])</f>
        <v>78.960400199721704</v>
      </c>
      <c r="O485">
        <v>78.960400199721704</v>
      </c>
      <c r="P485">
        <v>0.68415839920111321</v>
      </c>
    </row>
    <row r="486" spans="1:16" ht="14.25" customHeight="1">
      <c r="A486" s="1" t="s">
        <v>571</v>
      </c>
      <c r="B486" s="1" t="s">
        <v>885</v>
      </c>
      <c r="C486" s="3">
        <v>44747</v>
      </c>
      <c r="D486" s="1" t="s">
        <v>900</v>
      </c>
      <c r="E486" s="1" t="s">
        <v>896</v>
      </c>
      <c r="F486" s="1">
        <v>130</v>
      </c>
      <c r="G486" s="1" t="s">
        <v>3</v>
      </c>
      <c r="H486" s="4">
        <v>6</v>
      </c>
      <c r="I486" s="5">
        <v>0.47900916747418532</v>
      </c>
      <c r="J486">
        <f>Table_3[[#This Row],[Price of One Product]]*Table_3[[#This Row],[No of Products in one Sale]]*(1-Table_3[[#This Row],[Discount]])</f>
        <v>406.37284937013544</v>
      </c>
      <c r="O486">
        <v>406.37284937013544</v>
      </c>
      <c r="P486">
        <v>0.47900916747418532</v>
      </c>
    </row>
    <row r="487" spans="1:16" ht="14.25" customHeight="1">
      <c r="A487" s="1" t="s">
        <v>572</v>
      </c>
      <c r="B487" s="1" t="s">
        <v>886</v>
      </c>
      <c r="C487" s="3">
        <v>44754</v>
      </c>
      <c r="D487" s="1" t="s">
        <v>901</v>
      </c>
      <c r="E487" s="1" t="s">
        <v>898</v>
      </c>
      <c r="F487" s="1">
        <v>60</v>
      </c>
      <c r="G487" s="1" t="s">
        <v>1</v>
      </c>
      <c r="H487" s="4">
        <v>4</v>
      </c>
      <c r="I487" s="5">
        <v>0.89045722746488731</v>
      </c>
      <c r="J487">
        <f>Table_3[[#This Row],[Price of One Product]]*Table_3[[#This Row],[No of Products in one Sale]]*(1-Table_3[[#This Row],[Discount]])</f>
        <v>26.290265408427047</v>
      </c>
      <c r="O487">
        <v>26.290265408427047</v>
      </c>
      <c r="P487">
        <v>0.89045722746488731</v>
      </c>
    </row>
    <row r="488" spans="1:16" ht="14.25" customHeight="1">
      <c r="A488" s="1" t="s">
        <v>573</v>
      </c>
      <c r="B488" s="1" t="s">
        <v>887</v>
      </c>
      <c r="C488" s="3">
        <v>44760</v>
      </c>
      <c r="D488" s="1" t="s">
        <v>895</v>
      </c>
      <c r="E488" s="1" t="s">
        <v>896</v>
      </c>
      <c r="F488" s="1">
        <v>72</v>
      </c>
      <c r="G488" s="1" t="s">
        <v>2</v>
      </c>
      <c r="H488" s="4">
        <v>7</v>
      </c>
      <c r="I488" s="5">
        <v>0.50949971880500122</v>
      </c>
      <c r="J488">
        <f>Table_3[[#This Row],[Price of One Product]]*Table_3[[#This Row],[No of Products in one Sale]]*(1-Table_3[[#This Row],[Discount]])</f>
        <v>247.2121417222794</v>
      </c>
      <c r="O488">
        <v>247.2121417222794</v>
      </c>
      <c r="P488">
        <v>0.50949971880500122</v>
      </c>
    </row>
    <row r="489" spans="1:16" ht="14.25" customHeight="1">
      <c r="A489" s="1" t="s">
        <v>574</v>
      </c>
      <c r="B489" s="1" t="s">
        <v>883</v>
      </c>
      <c r="C489" s="3">
        <v>44759</v>
      </c>
      <c r="D489" s="1" t="s">
        <v>897</v>
      </c>
      <c r="E489" s="1" t="s">
        <v>898</v>
      </c>
      <c r="F489" s="1">
        <v>65</v>
      </c>
      <c r="G489" s="1" t="s">
        <v>3</v>
      </c>
      <c r="H489" s="4">
        <v>12</v>
      </c>
      <c r="I489" s="5">
        <v>0.78361211804502018</v>
      </c>
      <c r="J489">
        <f>Table_3[[#This Row],[Price of One Product]]*Table_3[[#This Row],[No of Products in one Sale]]*(1-Table_3[[#This Row],[Discount]])</f>
        <v>168.78254792488426</v>
      </c>
      <c r="O489">
        <v>168.78254792488426</v>
      </c>
      <c r="P489">
        <v>0.78361211804502018</v>
      </c>
    </row>
    <row r="490" spans="1:16" ht="14.25" customHeight="1">
      <c r="A490" s="1" t="s">
        <v>575</v>
      </c>
      <c r="B490" s="1" t="s">
        <v>884</v>
      </c>
      <c r="C490" s="3">
        <v>44735</v>
      </c>
      <c r="D490" s="1" t="s">
        <v>899</v>
      </c>
      <c r="E490" s="1" t="s">
        <v>896</v>
      </c>
      <c r="F490" s="1">
        <v>250</v>
      </c>
      <c r="G490" s="1" t="s">
        <v>1</v>
      </c>
      <c r="H490" s="4">
        <v>1</v>
      </c>
      <c r="I490" s="5">
        <v>6.596920154790531E-2</v>
      </c>
      <c r="J490">
        <f>Table_3[[#This Row],[Price of One Product]]*Table_3[[#This Row],[No of Products in one Sale]]*(1-Table_3[[#This Row],[Discount]])</f>
        <v>233.50769961302368</v>
      </c>
      <c r="O490">
        <v>233.50769961302368</v>
      </c>
      <c r="P490">
        <v>6.596920154790531E-2</v>
      </c>
    </row>
    <row r="491" spans="1:16" ht="14.25" customHeight="1">
      <c r="A491" s="1" t="s">
        <v>576</v>
      </c>
      <c r="B491" s="1" t="s">
        <v>885</v>
      </c>
      <c r="C491" s="3">
        <v>44734</v>
      </c>
      <c r="D491" s="1" t="s">
        <v>900</v>
      </c>
      <c r="E491" s="1" t="s">
        <v>898</v>
      </c>
      <c r="F491" s="1">
        <v>130</v>
      </c>
      <c r="G491" s="1" t="s">
        <v>2</v>
      </c>
      <c r="H491" s="4">
        <v>6</v>
      </c>
      <c r="I491" s="5">
        <v>0.17858014910494857</v>
      </c>
      <c r="J491">
        <f>Table_3[[#This Row],[Price of One Product]]*Table_3[[#This Row],[No of Products in one Sale]]*(1-Table_3[[#This Row],[Discount]])</f>
        <v>640.70748369814009</v>
      </c>
      <c r="O491">
        <v>640.70748369814009</v>
      </c>
      <c r="P491">
        <v>0.17858014910494857</v>
      </c>
    </row>
    <row r="492" spans="1:16" ht="14.25" customHeight="1">
      <c r="A492" s="1" t="s">
        <v>577</v>
      </c>
      <c r="B492" s="1" t="s">
        <v>886</v>
      </c>
      <c r="C492" s="3">
        <v>44753</v>
      </c>
      <c r="D492" s="1" t="s">
        <v>895</v>
      </c>
      <c r="E492" s="1" t="s">
        <v>896</v>
      </c>
      <c r="F492" s="1">
        <v>72</v>
      </c>
      <c r="G492" s="1" t="s">
        <v>3</v>
      </c>
      <c r="H492" s="4">
        <v>4</v>
      </c>
      <c r="I492" s="5">
        <v>0.43587855952805254</v>
      </c>
      <c r="J492">
        <f>Table_3[[#This Row],[Price of One Product]]*Table_3[[#This Row],[No of Products in one Sale]]*(1-Table_3[[#This Row],[Discount]])</f>
        <v>162.46697485592085</v>
      </c>
      <c r="O492">
        <v>162.46697485592085</v>
      </c>
      <c r="P492">
        <v>0.43587855952805254</v>
      </c>
    </row>
    <row r="493" spans="1:16" ht="14.25" customHeight="1">
      <c r="A493" s="1" t="s">
        <v>578</v>
      </c>
      <c r="B493" s="1" t="s">
        <v>883</v>
      </c>
      <c r="C493" s="3">
        <v>44739</v>
      </c>
      <c r="D493" s="1" t="s">
        <v>897</v>
      </c>
      <c r="E493" s="1" t="s">
        <v>898</v>
      </c>
      <c r="F493" s="1">
        <v>65</v>
      </c>
      <c r="G493" s="1" t="s">
        <v>1</v>
      </c>
      <c r="H493" s="4">
        <v>10</v>
      </c>
      <c r="I493" s="5">
        <v>0.74040338644493453</v>
      </c>
      <c r="J493">
        <f>Table_3[[#This Row],[Price of One Product]]*Table_3[[#This Row],[No of Products in one Sale]]*(1-Table_3[[#This Row],[Discount]])</f>
        <v>168.73779881079255</v>
      </c>
      <c r="O493">
        <v>168.73779881079255</v>
      </c>
      <c r="P493">
        <v>0.74040338644493453</v>
      </c>
    </row>
    <row r="494" spans="1:16" ht="14.25" customHeight="1">
      <c r="A494" s="1" t="s">
        <v>579</v>
      </c>
      <c r="B494" s="1" t="s">
        <v>884</v>
      </c>
      <c r="C494" s="3">
        <v>44740</v>
      </c>
      <c r="D494" s="1" t="s">
        <v>899</v>
      </c>
      <c r="E494" s="1" t="s">
        <v>896</v>
      </c>
      <c r="F494" s="1">
        <v>250</v>
      </c>
      <c r="G494" s="1" t="s">
        <v>2</v>
      </c>
      <c r="H494" s="4">
        <v>4</v>
      </c>
      <c r="I494" s="5">
        <v>0.54109571345744756</v>
      </c>
      <c r="J494">
        <f>Table_3[[#This Row],[Price of One Product]]*Table_3[[#This Row],[No of Products in one Sale]]*(1-Table_3[[#This Row],[Discount]])</f>
        <v>458.90428654255243</v>
      </c>
      <c r="O494">
        <v>458.90428654255243</v>
      </c>
      <c r="P494">
        <v>0.54109571345744756</v>
      </c>
    </row>
    <row r="495" spans="1:16" ht="14.25" customHeight="1">
      <c r="A495" s="1" t="s">
        <v>580</v>
      </c>
      <c r="B495" s="1" t="s">
        <v>885</v>
      </c>
      <c r="C495" s="3">
        <v>44748</v>
      </c>
      <c r="D495" s="1" t="s">
        <v>900</v>
      </c>
      <c r="E495" s="1" t="s">
        <v>898</v>
      </c>
      <c r="F495" s="1">
        <v>130</v>
      </c>
      <c r="G495" s="1" t="s">
        <v>3</v>
      </c>
      <c r="H495" s="4">
        <v>3</v>
      </c>
      <c r="I495" s="5">
        <v>0.71271172701355112</v>
      </c>
      <c r="J495">
        <f>Table_3[[#This Row],[Price of One Product]]*Table_3[[#This Row],[No of Products in one Sale]]*(1-Table_3[[#This Row],[Discount]])</f>
        <v>112.04242646471506</v>
      </c>
      <c r="O495">
        <v>112.04242646471506</v>
      </c>
      <c r="P495">
        <v>0.71271172701355112</v>
      </c>
    </row>
    <row r="496" spans="1:16" ht="14.25" customHeight="1">
      <c r="A496" s="1" t="s">
        <v>581</v>
      </c>
      <c r="B496" s="1" t="s">
        <v>886</v>
      </c>
      <c r="C496" s="3">
        <v>44731</v>
      </c>
      <c r="D496" s="1" t="s">
        <v>901</v>
      </c>
      <c r="E496" s="1" t="s">
        <v>896</v>
      </c>
      <c r="F496" s="1">
        <v>60</v>
      </c>
      <c r="G496" s="1" t="s">
        <v>1</v>
      </c>
      <c r="H496" s="4">
        <v>13</v>
      </c>
      <c r="I496" s="5">
        <v>0.66248409996473057</v>
      </c>
      <c r="J496">
        <f>Table_3[[#This Row],[Price of One Product]]*Table_3[[#This Row],[No of Products in one Sale]]*(1-Table_3[[#This Row],[Discount]])</f>
        <v>263.26240202751018</v>
      </c>
      <c r="O496">
        <v>263.26240202751018</v>
      </c>
      <c r="P496">
        <v>0.66248409996473057</v>
      </c>
    </row>
    <row r="497" spans="1:16" ht="14.25" customHeight="1">
      <c r="A497" s="1" t="s">
        <v>582</v>
      </c>
      <c r="B497" s="1" t="s">
        <v>887</v>
      </c>
      <c r="C497" s="3">
        <v>44763</v>
      </c>
      <c r="D497" s="1" t="s">
        <v>902</v>
      </c>
      <c r="E497" s="1" t="s">
        <v>898</v>
      </c>
      <c r="F497" s="1">
        <v>95</v>
      </c>
      <c r="G497" s="1" t="s">
        <v>2</v>
      </c>
      <c r="H497" s="4">
        <v>4</v>
      </c>
      <c r="I497" s="5">
        <v>0.51300641040982664</v>
      </c>
      <c r="J497">
        <f>Table_3[[#This Row],[Price of One Product]]*Table_3[[#This Row],[No of Products in one Sale]]*(1-Table_3[[#This Row],[Discount]])</f>
        <v>185.05756404426589</v>
      </c>
      <c r="O497">
        <v>185.05756404426589</v>
      </c>
      <c r="P497">
        <v>0.51300641040982664</v>
      </c>
    </row>
    <row r="498" spans="1:16" ht="14.25" customHeight="1">
      <c r="A498" s="1" t="s">
        <v>583</v>
      </c>
      <c r="B498" s="1" t="s">
        <v>888</v>
      </c>
      <c r="C498" s="3">
        <v>44733</v>
      </c>
      <c r="D498" s="1" t="s">
        <v>895</v>
      </c>
      <c r="E498" s="1" t="s">
        <v>896</v>
      </c>
      <c r="F498" s="1">
        <v>72</v>
      </c>
      <c r="G498" s="1" t="s">
        <v>3</v>
      </c>
      <c r="H498" s="4">
        <v>3</v>
      </c>
      <c r="I498" s="5">
        <v>0.84951124937796896</v>
      </c>
      <c r="J498">
        <f>Table_3[[#This Row],[Price of One Product]]*Table_3[[#This Row],[No of Products in one Sale]]*(1-Table_3[[#This Row],[Discount]])</f>
        <v>32.505570134358706</v>
      </c>
      <c r="O498">
        <v>32.505570134358706</v>
      </c>
      <c r="P498">
        <v>0.84951124937796896</v>
      </c>
    </row>
    <row r="499" spans="1:16" ht="14.25" customHeight="1">
      <c r="A499" s="1" t="s">
        <v>584</v>
      </c>
      <c r="B499" s="1" t="s">
        <v>883</v>
      </c>
      <c r="C499" s="3">
        <v>44746</v>
      </c>
      <c r="D499" s="1" t="s">
        <v>897</v>
      </c>
      <c r="E499" s="1" t="s">
        <v>898</v>
      </c>
      <c r="F499" s="1">
        <v>65</v>
      </c>
      <c r="G499" s="1" t="s">
        <v>1</v>
      </c>
      <c r="H499" s="4">
        <v>12</v>
      </c>
      <c r="I499" s="5">
        <v>0.57786595909251792</v>
      </c>
      <c r="J499">
        <f>Table_3[[#This Row],[Price of One Product]]*Table_3[[#This Row],[No of Products in one Sale]]*(1-Table_3[[#This Row],[Discount]])</f>
        <v>329.26455190783599</v>
      </c>
      <c r="O499">
        <v>329.26455190783599</v>
      </c>
      <c r="P499">
        <v>0.57786595909251792</v>
      </c>
    </row>
    <row r="500" spans="1:16" ht="14.25" customHeight="1">
      <c r="A500" s="1" t="s">
        <v>585</v>
      </c>
      <c r="B500" s="1" t="s">
        <v>884</v>
      </c>
      <c r="C500" s="3">
        <v>44755</v>
      </c>
      <c r="D500" s="1" t="s">
        <v>899</v>
      </c>
      <c r="E500" s="1" t="s">
        <v>898</v>
      </c>
      <c r="F500" s="1">
        <v>250</v>
      </c>
      <c r="G500" s="1" t="s">
        <v>2</v>
      </c>
      <c r="H500" s="4">
        <v>4</v>
      </c>
      <c r="I500" s="5">
        <v>1.9027976654024337E-2</v>
      </c>
      <c r="J500">
        <f>Table_3[[#This Row],[Price of One Product]]*Table_3[[#This Row],[No of Products in one Sale]]*(1-Table_3[[#This Row],[Discount]])</f>
        <v>980.97202334597569</v>
      </c>
      <c r="O500">
        <v>980.97202334597569</v>
      </c>
      <c r="P500">
        <v>1.9027976654024337E-2</v>
      </c>
    </row>
    <row r="501" spans="1:16" ht="14.25" customHeight="1">
      <c r="A501" s="1" t="s">
        <v>586</v>
      </c>
      <c r="B501" s="1" t="s">
        <v>883</v>
      </c>
      <c r="C501" s="3">
        <v>44787</v>
      </c>
      <c r="D501" s="1" t="s">
        <v>895</v>
      </c>
      <c r="E501" s="1" t="s">
        <v>896</v>
      </c>
      <c r="F501" s="1">
        <v>72</v>
      </c>
      <c r="G501" s="1" t="s">
        <v>3</v>
      </c>
      <c r="H501" s="4">
        <v>9</v>
      </c>
      <c r="I501" s="5">
        <f t="shared" ref="I501:I755" ca="1" si="0">RAND()</f>
        <v>0.99477673343530948</v>
      </c>
      <c r="J501">
        <f ca="1">Table_3[[#This Row],[Price of One Product]]*Table_3[[#This Row],[No of Products in one Sale]]*(1-Table_3[[#This Row],[Discount]])</f>
        <v>3.3846767339194574</v>
      </c>
      <c r="O501">
        <v>263.92421106848815</v>
      </c>
      <c r="P501">
        <v>0.16645648551981329</v>
      </c>
    </row>
    <row r="502" spans="1:16" ht="14.25" customHeight="1">
      <c r="A502" s="1" t="s">
        <v>587</v>
      </c>
      <c r="B502" s="1" t="s">
        <v>884</v>
      </c>
      <c r="C502" s="3">
        <v>44799</v>
      </c>
      <c r="D502" s="1" t="s">
        <v>897</v>
      </c>
      <c r="E502" s="1" t="s">
        <v>898</v>
      </c>
      <c r="F502" s="1">
        <v>65</v>
      </c>
      <c r="G502" s="1" t="s">
        <v>1</v>
      </c>
      <c r="H502" s="4">
        <v>11</v>
      </c>
      <c r="I502" s="5">
        <f t="shared" ca="1" si="0"/>
        <v>0.13842834493448841</v>
      </c>
      <c r="J502">
        <f ca="1">Table_3[[#This Row],[Price of One Product]]*Table_3[[#This Row],[No of Products in one Sale]]*(1-Table_3[[#This Row],[Discount]])</f>
        <v>616.02373337184076</v>
      </c>
      <c r="O502">
        <v>573.02254714093101</v>
      </c>
      <c r="P502">
        <v>8.7416948961265617E-2</v>
      </c>
    </row>
    <row r="503" spans="1:16" ht="14.25" customHeight="1">
      <c r="A503" s="1" t="s">
        <v>588</v>
      </c>
      <c r="B503" s="1" t="s">
        <v>885</v>
      </c>
      <c r="C503" s="3">
        <v>44802</v>
      </c>
      <c r="D503" s="1" t="s">
        <v>899</v>
      </c>
      <c r="E503" s="1" t="s">
        <v>896</v>
      </c>
      <c r="F503" s="1">
        <v>250</v>
      </c>
      <c r="G503" s="1" t="s">
        <v>2</v>
      </c>
      <c r="H503" s="4">
        <v>2</v>
      </c>
      <c r="I503" s="5">
        <f t="shared" ca="1" si="0"/>
        <v>0.30003348575211297</v>
      </c>
      <c r="J503">
        <f ca="1">Table_3[[#This Row],[Price of One Product]]*Table_3[[#This Row],[No of Products in one Sale]]*(1-Table_3[[#This Row],[Discount]])</f>
        <v>349.98325712394353</v>
      </c>
      <c r="O503">
        <v>279.72323988819403</v>
      </c>
      <c r="P503">
        <v>0.79940970743655881</v>
      </c>
    </row>
    <row r="504" spans="1:16" ht="14.25" customHeight="1">
      <c r="A504" s="1" t="s">
        <v>589</v>
      </c>
      <c r="B504" s="1" t="s">
        <v>886</v>
      </c>
      <c r="C504" s="3">
        <v>44774</v>
      </c>
      <c r="D504" s="1" t="s">
        <v>900</v>
      </c>
      <c r="E504" s="1" t="s">
        <v>898</v>
      </c>
      <c r="F504" s="1">
        <v>130</v>
      </c>
      <c r="G504" s="1" t="s">
        <v>3</v>
      </c>
      <c r="H504" s="4">
        <v>5</v>
      </c>
      <c r="I504" s="5">
        <f t="shared" ca="1" si="0"/>
        <v>0.80568501422748051</v>
      </c>
      <c r="J504">
        <f ca="1">Table_3[[#This Row],[Price of One Product]]*Table_3[[#This Row],[No of Products in one Sale]]*(1-Table_3[[#This Row],[Discount]])</f>
        <v>126.30474075213766</v>
      </c>
      <c r="O504">
        <v>404.50677921288377</v>
      </c>
      <c r="P504">
        <v>0.71598878210736583</v>
      </c>
    </row>
    <row r="505" spans="1:16" ht="14.25" customHeight="1">
      <c r="A505" s="1" t="s">
        <v>590</v>
      </c>
      <c r="B505" s="1" t="s">
        <v>883</v>
      </c>
      <c r="C505" s="3">
        <v>44800</v>
      </c>
      <c r="D505" s="1" t="s">
        <v>895</v>
      </c>
      <c r="E505" s="1" t="s">
        <v>896</v>
      </c>
      <c r="F505" s="1">
        <v>72</v>
      </c>
      <c r="G505" s="1" t="s">
        <v>1</v>
      </c>
      <c r="H505" s="4">
        <v>8</v>
      </c>
      <c r="I505" s="5">
        <f t="shared" ca="1" si="0"/>
        <v>0.85911481978679294</v>
      </c>
      <c r="J505">
        <f ca="1">Table_3[[#This Row],[Price of One Product]]*Table_3[[#This Row],[No of Products in one Sale]]*(1-Table_3[[#This Row],[Discount]])</f>
        <v>81.149863802807261</v>
      </c>
      <c r="O505">
        <v>349.49056115052679</v>
      </c>
      <c r="P505">
        <v>0.40855733285271334</v>
      </c>
    </row>
    <row r="506" spans="1:16" ht="14.25" customHeight="1">
      <c r="A506" s="1" t="s">
        <v>591</v>
      </c>
      <c r="B506" s="1" t="s">
        <v>884</v>
      </c>
      <c r="C506" s="3">
        <v>44797</v>
      </c>
      <c r="D506" s="1" t="s">
        <v>897</v>
      </c>
      <c r="E506" s="1" t="s">
        <v>898</v>
      </c>
      <c r="F506" s="1">
        <v>65</v>
      </c>
      <c r="G506" s="1" t="s">
        <v>2</v>
      </c>
      <c r="H506" s="4">
        <v>5</v>
      </c>
      <c r="I506" s="5">
        <f t="shared" ca="1" si="0"/>
        <v>0.27590849877068235</v>
      </c>
      <c r="J506">
        <f ca="1">Table_3[[#This Row],[Price of One Product]]*Table_3[[#This Row],[No of Products in one Sale]]*(1-Table_3[[#This Row],[Discount]])</f>
        <v>235.32973789952823</v>
      </c>
      <c r="O506">
        <v>280.70468354852898</v>
      </c>
      <c r="P506">
        <v>0.10145378275013406</v>
      </c>
    </row>
    <row r="507" spans="1:16" ht="14.25" customHeight="1">
      <c r="A507" s="1" t="s">
        <v>592</v>
      </c>
      <c r="B507" s="1" t="s">
        <v>885</v>
      </c>
      <c r="C507" s="3">
        <v>44766</v>
      </c>
      <c r="D507" s="1" t="s">
        <v>899</v>
      </c>
      <c r="E507" s="1" t="s">
        <v>896</v>
      </c>
      <c r="F507" s="1">
        <v>250</v>
      </c>
      <c r="G507" s="1" t="s">
        <v>3</v>
      </c>
      <c r="H507" s="4">
        <v>2</v>
      </c>
      <c r="I507" s="5">
        <f t="shared" ca="1" si="0"/>
        <v>0.76705238462399794</v>
      </c>
      <c r="J507">
        <f ca="1">Table_3[[#This Row],[Price of One Product]]*Table_3[[#This Row],[No of Products in one Sale]]*(1-Table_3[[#This Row],[Discount]])</f>
        <v>116.47380768800103</v>
      </c>
      <c r="O507">
        <v>339.07831904138419</v>
      </c>
      <c r="P507">
        <v>0.84855103546442667</v>
      </c>
    </row>
    <row r="508" spans="1:16" ht="14.25" customHeight="1">
      <c r="A508" s="1" t="s">
        <v>593</v>
      </c>
      <c r="B508" s="1" t="s">
        <v>886</v>
      </c>
      <c r="C508" s="3">
        <v>44782</v>
      </c>
      <c r="D508" s="1" t="s">
        <v>900</v>
      </c>
      <c r="E508" s="1" t="s">
        <v>898</v>
      </c>
      <c r="F508" s="1">
        <v>130</v>
      </c>
      <c r="G508" s="1" t="s">
        <v>1</v>
      </c>
      <c r="H508" s="4">
        <v>4</v>
      </c>
      <c r="I508" s="5">
        <f t="shared" ca="1" si="0"/>
        <v>0.51097378426402928</v>
      </c>
      <c r="J508">
        <f ca="1">Table_3[[#This Row],[Price of One Product]]*Table_3[[#This Row],[No of Products in one Sale]]*(1-Table_3[[#This Row],[Discount]])</f>
        <v>254.29363218270478</v>
      </c>
      <c r="O508">
        <v>350.15666193265304</v>
      </c>
      <c r="P508">
        <v>0.14805516324230095</v>
      </c>
    </row>
    <row r="509" spans="1:16" ht="14.25" customHeight="1">
      <c r="A509" s="1" t="s">
        <v>594</v>
      </c>
      <c r="B509" s="1" t="s">
        <v>887</v>
      </c>
      <c r="C509" s="3">
        <v>44790</v>
      </c>
      <c r="D509" s="1" t="s">
        <v>901</v>
      </c>
      <c r="E509" s="1" t="s">
        <v>896</v>
      </c>
      <c r="F509" s="1">
        <v>60</v>
      </c>
      <c r="G509" s="1" t="s">
        <v>2</v>
      </c>
      <c r="H509" s="4">
        <v>12</v>
      </c>
      <c r="I509" s="5">
        <f t="shared" ca="1" si="0"/>
        <v>9.1728959212997951E-2</v>
      </c>
      <c r="J509">
        <f ca="1">Table_3[[#This Row],[Price of One Product]]*Table_3[[#This Row],[No of Products in one Sale]]*(1-Table_3[[#This Row],[Discount]])</f>
        <v>653.95514936664142</v>
      </c>
      <c r="O509">
        <v>69.939165320408307</v>
      </c>
      <c r="P509">
        <v>7.7051238790510013E-2</v>
      </c>
    </row>
    <row r="510" spans="1:16" ht="14.25" customHeight="1">
      <c r="A510" s="1" t="s">
        <v>595</v>
      </c>
      <c r="B510" s="1" t="s">
        <v>883</v>
      </c>
      <c r="C510" s="3">
        <v>44770</v>
      </c>
      <c r="D510" s="1" t="s">
        <v>895</v>
      </c>
      <c r="E510" s="1" t="s">
        <v>898</v>
      </c>
      <c r="F510" s="1">
        <v>72</v>
      </c>
      <c r="G510" s="1" t="s">
        <v>3</v>
      </c>
      <c r="H510" s="4">
        <v>12</v>
      </c>
      <c r="I510" s="5">
        <f t="shared" ca="1" si="0"/>
        <v>0.48406284197507887</v>
      </c>
      <c r="J510">
        <f ca="1">Table_3[[#This Row],[Price of One Product]]*Table_3[[#This Row],[No of Products in one Sale]]*(1-Table_3[[#This Row],[Discount]])</f>
        <v>445.76970453353186</v>
      </c>
      <c r="O510">
        <v>439.77824006338432</v>
      </c>
      <c r="P510">
        <v>0.38534793405725987</v>
      </c>
    </row>
    <row r="511" spans="1:16" ht="14.25" customHeight="1">
      <c r="A511" s="1" t="s">
        <v>596</v>
      </c>
      <c r="B511" s="1" t="s">
        <v>884</v>
      </c>
      <c r="C511" s="3">
        <v>44759</v>
      </c>
      <c r="D511" s="1" t="s">
        <v>897</v>
      </c>
      <c r="E511" s="1" t="s">
        <v>896</v>
      </c>
      <c r="F511" s="1">
        <v>65</v>
      </c>
      <c r="G511" s="1" t="s">
        <v>1</v>
      </c>
      <c r="H511" s="4">
        <v>9</v>
      </c>
      <c r="I511" s="5">
        <f t="shared" ca="1" si="0"/>
        <v>0.61249715930072346</v>
      </c>
      <c r="J511">
        <f ca="1">Table_3[[#This Row],[Price of One Product]]*Table_3[[#This Row],[No of Products in one Sale]]*(1-Table_3[[#This Row],[Discount]])</f>
        <v>226.68916180907678</v>
      </c>
      <c r="O511">
        <v>118.7831305743572</v>
      </c>
      <c r="P511">
        <v>0.88967592981999155</v>
      </c>
    </row>
    <row r="512" spans="1:16" ht="14.25" customHeight="1">
      <c r="A512" s="1" t="s">
        <v>597</v>
      </c>
      <c r="B512" s="1" t="s">
        <v>885</v>
      </c>
      <c r="C512" s="3">
        <v>44776</v>
      </c>
      <c r="D512" s="1" t="s">
        <v>899</v>
      </c>
      <c r="E512" s="1" t="s">
        <v>898</v>
      </c>
      <c r="F512" s="1">
        <v>250</v>
      </c>
      <c r="G512" s="1" t="s">
        <v>2</v>
      </c>
      <c r="H512" s="4">
        <v>3</v>
      </c>
      <c r="I512" s="5">
        <f t="shared" ca="1" si="0"/>
        <v>0.94834206914091146</v>
      </c>
      <c r="J512">
        <f ca="1">Table_3[[#This Row],[Price of One Product]]*Table_3[[#This Row],[No of Products in one Sale]]*(1-Table_3[[#This Row],[Discount]])</f>
        <v>38.743448144316403</v>
      </c>
      <c r="O512">
        <v>239.75407264424109</v>
      </c>
      <c r="P512">
        <v>0.42918998764153327</v>
      </c>
    </row>
    <row r="513" spans="1:16" ht="14.25" customHeight="1">
      <c r="A513" s="1" t="s">
        <v>598</v>
      </c>
      <c r="B513" s="1" t="s">
        <v>886</v>
      </c>
      <c r="C513" s="3">
        <v>44757</v>
      </c>
      <c r="D513" s="1" t="s">
        <v>900</v>
      </c>
      <c r="E513" s="1" t="s">
        <v>896</v>
      </c>
      <c r="F513" s="1">
        <v>130</v>
      </c>
      <c r="G513" s="1" t="s">
        <v>3</v>
      </c>
      <c r="H513" s="4">
        <v>6</v>
      </c>
      <c r="I513" s="5">
        <f t="shared" ca="1" si="0"/>
        <v>0.27474354619736197</v>
      </c>
      <c r="J513">
        <f ca="1">Table_3[[#This Row],[Price of One Product]]*Table_3[[#This Row],[No of Products in one Sale]]*(1-Table_3[[#This Row],[Discount]])</f>
        <v>565.70003396605762</v>
      </c>
      <c r="O513">
        <v>247.82544788559468</v>
      </c>
      <c r="P513">
        <v>8.0629049443051715E-2</v>
      </c>
    </row>
    <row r="514" spans="1:16" ht="14.25" customHeight="1">
      <c r="A514" s="1" t="s">
        <v>599</v>
      </c>
      <c r="B514" s="1" t="s">
        <v>883</v>
      </c>
      <c r="C514" s="3">
        <v>44771</v>
      </c>
      <c r="D514" s="1" t="s">
        <v>895</v>
      </c>
      <c r="E514" s="1" t="s">
        <v>898</v>
      </c>
      <c r="F514" s="1">
        <v>72</v>
      </c>
      <c r="G514" s="1" t="s">
        <v>1</v>
      </c>
      <c r="H514" s="4">
        <v>8</v>
      </c>
      <c r="I514" s="5">
        <f t="shared" ca="1" si="0"/>
        <v>3.9036435946899872E-2</v>
      </c>
      <c r="J514">
        <f ca="1">Table_3[[#This Row],[Price of One Product]]*Table_3[[#This Row],[No of Products in one Sale]]*(1-Table_3[[#This Row],[Discount]])</f>
        <v>553.51501289458565</v>
      </c>
      <c r="O514">
        <v>492.62052198113162</v>
      </c>
      <c r="P514">
        <v>2.1222433451423273E-3</v>
      </c>
    </row>
    <row r="515" spans="1:16" ht="14.25" customHeight="1">
      <c r="A515" s="1" t="s">
        <v>600</v>
      </c>
      <c r="B515" s="1" t="s">
        <v>884</v>
      </c>
      <c r="C515" s="3">
        <v>44788</v>
      </c>
      <c r="D515" s="1" t="s">
        <v>897</v>
      </c>
      <c r="E515" s="1" t="s">
        <v>896</v>
      </c>
      <c r="F515" s="1">
        <v>65</v>
      </c>
      <c r="G515" s="1" t="s">
        <v>2</v>
      </c>
      <c r="H515" s="4">
        <v>4</v>
      </c>
      <c r="I515" s="5">
        <f t="shared" ca="1" si="0"/>
        <v>0.5188178073259323</v>
      </c>
      <c r="J515">
        <f ca="1">Table_3[[#This Row],[Price of One Product]]*Table_3[[#This Row],[No of Products in one Sale]]*(1-Table_3[[#This Row],[Discount]])</f>
        <v>125.10737009525761</v>
      </c>
      <c r="O515">
        <v>172.95979888217721</v>
      </c>
      <c r="P515">
        <v>0.46342060038993405</v>
      </c>
    </row>
    <row r="516" spans="1:16" ht="14.25" customHeight="1">
      <c r="A516" s="1" t="s">
        <v>601</v>
      </c>
      <c r="B516" s="1" t="s">
        <v>885</v>
      </c>
      <c r="C516" s="3">
        <v>44762</v>
      </c>
      <c r="D516" s="1" t="s">
        <v>899</v>
      </c>
      <c r="E516" s="1" t="s">
        <v>898</v>
      </c>
      <c r="F516" s="1">
        <v>250</v>
      </c>
      <c r="G516" s="1" t="s">
        <v>3</v>
      </c>
      <c r="H516" s="4">
        <v>2</v>
      </c>
      <c r="I516" s="5">
        <f t="shared" ca="1" si="0"/>
        <v>0.93128981718276593</v>
      </c>
      <c r="J516">
        <f ca="1">Table_3[[#This Row],[Price of One Product]]*Table_3[[#This Row],[No of Products in one Sale]]*(1-Table_3[[#This Row],[Discount]])</f>
        <v>34.355091408617035</v>
      </c>
      <c r="O516">
        <v>257.14115492442124</v>
      </c>
      <c r="P516">
        <v>0.40664472298967747</v>
      </c>
    </row>
    <row r="517" spans="1:16" ht="14.25" customHeight="1">
      <c r="A517" s="1" t="s">
        <v>602</v>
      </c>
      <c r="B517" s="1" t="s">
        <v>886</v>
      </c>
      <c r="C517" s="3">
        <v>44789</v>
      </c>
      <c r="D517" s="1" t="s">
        <v>900</v>
      </c>
      <c r="E517" s="1" t="s">
        <v>896</v>
      </c>
      <c r="F517" s="1">
        <v>130</v>
      </c>
      <c r="G517" s="1" t="s">
        <v>1</v>
      </c>
      <c r="H517" s="4">
        <v>6</v>
      </c>
      <c r="I517" s="5">
        <f t="shared" ca="1" si="0"/>
        <v>0.56916032180845799</v>
      </c>
      <c r="J517">
        <f ca="1">Table_3[[#This Row],[Price of One Product]]*Table_3[[#This Row],[No of Products in one Sale]]*(1-Table_3[[#This Row],[Discount]])</f>
        <v>336.05494898940276</v>
      </c>
      <c r="O517">
        <v>230.07171207026698</v>
      </c>
      <c r="P517">
        <v>0.64352643945443366</v>
      </c>
    </row>
    <row r="518" spans="1:16" ht="14.25" customHeight="1">
      <c r="A518" s="1" t="s">
        <v>603</v>
      </c>
      <c r="B518" s="1" t="s">
        <v>887</v>
      </c>
      <c r="C518" s="3">
        <v>44761</v>
      </c>
      <c r="D518" s="1" t="s">
        <v>901</v>
      </c>
      <c r="E518" s="1" t="s">
        <v>896</v>
      </c>
      <c r="F518" s="1">
        <v>60</v>
      </c>
      <c r="G518" s="1" t="s">
        <v>2</v>
      </c>
      <c r="H518" s="4">
        <v>15</v>
      </c>
      <c r="I518" s="5">
        <f t="shared" ca="1" si="0"/>
        <v>0.81507651229521094</v>
      </c>
      <c r="J518">
        <f ca="1">Table_3[[#This Row],[Price of One Product]]*Table_3[[#This Row],[No of Products in one Sale]]*(1-Table_3[[#This Row],[Discount]])</f>
        <v>166.43113893431016</v>
      </c>
      <c r="O518">
        <v>346.66816232348816</v>
      </c>
      <c r="P518">
        <v>0.67523037685494336</v>
      </c>
    </row>
    <row r="519" spans="1:16" ht="14.25" customHeight="1">
      <c r="A519" s="1" t="s">
        <v>604</v>
      </c>
      <c r="B519" s="1" t="s">
        <v>888</v>
      </c>
      <c r="C519" s="3">
        <v>44790</v>
      </c>
      <c r="D519" s="1" t="s">
        <v>902</v>
      </c>
      <c r="E519" s="1" t="s">
        <v>898</v>
      </c>
      <c r="F519" s="1">
        <v>95</v>
      </c>
      <c r="G519" s="1" t="s">
        <v>3</v>
      </c>
      <c r="H519" s="4">
        <v>8</v>
      </c>
      <c r="I519" s="5">
        <f t="shared" ca="1" si="0"/>
        <v>0.25716820963660147</v>
      </c>
      <c r="J519">
        <f ca="1">Table_3[[#This Row],[Price of One Product]]*Table_3[[#This Row],[No of Products in one Sale]]*(1-Table_3[[#This Row],[Discount]])</f>
        <v>564.55216067618289</v>
      </c>
      <c r="O519">
        <v>356.41942150605013</v>
      </c>
      <c r="P519">
        <v>0.59089427274155992</v>
      </c>
    </row>
    <row r="520" spans="1:16" ht="14.25" customHeight="1">
      <c r="A520" s="1" t="s">
        <v>605</v>
      </c>
      <c r="B520" s="1" t="s">
        <v>883</v>
      </c>
      <c r="C520" s="3">
        <v>44782</v>
      </c>
      <c r="D520" s="1" t="s">
        <v>895</v>
      </c>
      <c r="E520" s="1" t="s">
        <v>898</v>
      </c>
      <c r="F520" s="1">
        <v>72</v>
      </c>
      <c r="G520" s="1" t="s">
        <v>1</v>
      </c>
      <c r="H520" s="4">
        <v>4</v>
      </c>
      <c r="I520" s="5">
        <f t="shared" ca="1" si="0"/>
        <v>0.16218160111743418</v>
      </c>
      <c r="J520">
        <f ca="1">Table_3[[#This Row],[Price of One Product]]*Table_3[[#This Row],[No of Products in one Sale]]*(1-Table_3[[#This Row],[Discount]])</f>
        <v>241.29169887817895</v>
      </c>
      <c r="O520">
        <v>276.80880601883422</v>
      </c>
      <c r="P520">
        <v>0.67028742537320707</v>
      </c>
    </row>
    <row r="521" spans="1:16" ht="14.25" customHeight="1">
      <c r="A521" s="1" t="s">
        <v>606</v>
      </c>
      <c r="B521" s="1" t="s">
        <v>884</v>
      </c>
      <c r="C521" s="3">
        <v>44802</v>
      </c>
      <c r="D521" s="1" t="s">
        <v>897</v>
      </c>
      <c r="E521" s="1" t="s">
        <v>898</v>
      </c>
      <c r="F521" s="1">
        <v>65</v>
      </c>
      <c r="G521" s="1" t="s">
        <v>2</v>
      </c>
      <c r="H521" s="4">
        <v>3</v>
      </c>
      <c r="I521" s="5">
        <f t="shared" ca="1" si="0"/>
        <v>0.43080149700829529</v>
      </c>
      <c r="J521">
        <f ca="1">Table_3[[#This Row],[Price of One Product]]*Table_3[[#This Row],[No of Products in one Sale]]*(1-Table_3[[#This Row],[Discount]])</f>
        <v>110.99370808338242</v>
      </c>
      <c r="O521">
        <v>140.68130150128997</v>
      </c>
      <c r="P521">
        <v>0.92312513010787534</v>
      </c>
    </row>
    <row r="522" spans="1:16" ht="14.25" customHeight="1">
      <c r="A522" s="1" t="s">
        <v>607</v>
      </c>
      <c r="B522" s="1" t="s">
        <v>885</v>
      </c>
      <c r="C522" s="3">
        <v>44791</v>
      </c>
      <c r="D522" s="1" t="s">
        <v>899</v>
      </c>
      <c r="E522" s="1" t="s">
        <v>896</v>
      </c>
      <c r="F522" s="1">
        <v>250</v>
      </c>
      <c r="G522" s="1" t="s">
        <v>3</v>
      </c>
      <c r="H522" s="4">
        <v>1</v>
      </c>
      <c r="I522" s="5">
        <f t="shared" ca="1" si="0"/>
        <v>0.54361728765470807</v>
      </c>
      <c r="J522">
        <f ca="1">Table_3[[#This Row],[Price of One Product]]*Table_3[[#This Row],[No of Products in one Sale]]*(1-Table_3[[#This Row],[Discount]])</f>
        <v>114.09567808632298</v>
      </c>
      <c r="O522">
        <v>96.142547067342463</v>
      </c>
      <c r="P522">
        <v>6.1897036410741513E-2</v>
      </c>
    </row>
    <row r="523" spans="1:16" ht="14.25" customHeight="1">
      <c r="A523" s="1" t="s">
        <v>608</v>
      </c>
      <c r="B523" s="1" t="s">
        <v>886</v>
      </c>
      <c r="C523" s="3">
        <v>44795</v>
      </c>
      <c r="D523" s="1" t="s">
        <v>900</v>
      </c>
      <c r="E523" s="1" t="s">
        <v>896</v>
      </c>
      <c r="F523" s="1">
        <v>130</v>
      </c>
      <c r="G523" s="1" t="s">
        <v>1</v>
      </c>
      <c r="H523" s="4">
        <v>3</v>
      </c>
      <c r="I523" s="5">
        <f t="shared" ca="1" si="0"/>
        <v>0.85874810336164231</v>
      </c>
      <c r="J523">
        <f ca="1">Table_3[[#This Row],[Price of One Product]]*Table_3[[#This Row],[No of Products in one Sale]]*(1-Table_3[[#This Row],[Discount]])</f>
        <v>55.088239688959497</v>
      </c>
      <c r="O523">
        <v>178.36241215618455</v>
      </c>
      <c r="P523">
        <v>0.50573226951428263</v>
      </c>
    </row>
    <row r="524" spans="1:16" ht="14.25" customHeight="1">
      <c r="A524" s="1" t="s">
        <v>609</v>
      </c>
      <c r="B524" s="1" t="s">
        <v>883</v>
      </c>
      <c r="C524" s="3">
        <v>44759</v>
      </c>
      <c r="D524" s="1" t="s">
        <v>895</v>
      </c>
      <c r="E524" s="1" t="s">
        <v>896</v>
      </c>
      <c r="F524" s="1">
        <v>72</v>
      </c>
      <c r="G524" s="1" t="s">
        <v>2</v>
      </c>
      <c r="H524" s="4">
        <v>6</v>
      </c>
      <c r="I524" s="5">
        <f t="shared" ca="1" si="0"/>
        <v>0.76494082659603324</v>
      </c>
      <c r="J524">
        <f ca="1">Table_3[[#This Row],[Price of One Product]]*Table_3[[#This Row],[No of Products in one Sale]]*(1-Table_3[[#This Row],[Discount]])</f>
        <v>101.54556291051364</v>
      </c>
      <c r="O524">
        <v>77.48161617991704</v>
      </c>
      <c r="P524">
        <v>0.92475827278679035</v>
      </c>
    </row>
    <row r="525" spans="1:16" ht="14.25" customHeight="1">
      <c r="A525" s="1" t="s">
        <v>610</v>
      </c>
      <c r="B525" s="1" t="s">
        <v>884</v>
      </c>
      <c r="C525" s="3">
        <v>44756</v>
      </c>
      <c r="D525" s="1" t="s">
        <v>897</v>
      </c>
      <c r="E525" s="1" t="s">
        <v>896</v>
      </c>
      <c r="F525" s="1">
        <v>65</v>
      </c>
      <c r="G525" s="1" t="s">
        <v>3</v>
      </c>
      <c r="H525" s="4">
        <v>12</v>
      </c>
      <c r="I525" s="5">
        <f t="shared" ca="1" si="0"/>
        <v>0.19917075554250807</v>
      </c>
      <c r="J525">
        <f ca="1">Table_3[[#This Row],[Price of One Product]]*Table_3[[#This Row],[No of Products in one Sale]]*(1-Table_3[[#This Row],[Discount]])</f>
        <v>624.64681067684376</v>
      </c>
      <c r="O525">
        <v>390.21984694260698</v>
      </c>
      <c r="P525">
        <v>6.1642733804310179E-3</v>
      </c>
    </row>
    <row r="526" spans="1:16" ht="14.25" customHeight="1">
      <c r="A526" s="1" t="s">
        <v>611</v>
      </c>
      <c r="B526" s="1" t="s">
        <v>885</v>
      </c>
      <c r="C526" s="3">
        <v>44786</v>
      </c>
      <c r="D526" s="1" t="s">
        <v>899</v>
      </c>
      <c r="E526" s="1" t="s">
        <v>896</v>
      </c>
      <c r="F526" s="1">
        <v>250</v>
      </c>
      <c r="G526" s="1" t="s">
        <v>1</v>
      </c>
      <c r="H526" s="4">
        <v>3</v>
      </c>
      <c r="I526" s="5">
        <f t="shared" ca="1" si="0"/>
        <v>0.25343127339301175</v>
      </c>
      <c r="J526">
        <f ca="1">Table_3[[#This Row],[Price of One Product]]*Table_3[[#This Row],[No of Products in one Sale]]*(1-Table_3[[#This Row],[Discount]])</f>
        <v>559.92654495524118</v>
      </c>
      <c r="O526">
        <v>495.71959671514031</v>
      </c>
      <c r="P526">
        <v>0.80613998842614432</v>
      </c>
    </row>
    <row r="527" spans="1:16" ht="14.25" customHeight="1">
      <c r="A527" s="1" t="s">
        <v>612</v>
      </c>
      <c r="B527" s="1" t="s">
        <v>886</v>
      </c>
      <c r="C527" s="3">
        <v>44757</v>
      </c>
      <c r="D527" s="1" t="s">
        <v>900</v>
      </c>
      <c r="E527" s="1" t="s">
        <v>896</v>
      </c>
      <c r="F527" s="1">
        <v>130</v>
      </c>
      <c r="G527" s="1" t="s">
        <v>2</v>
      </c>
      <c r="H527" s="4">
        <v>5</v>
      </c>
      <c r="I527" s="5">
        <f t="shared" ca="1" si="0"/>
        <v>0.43296477542598411</v>
      </c>
      <c r="J527">
        <f ca="1">Table_3[[#This Row],[Price of One Product]]*Table_3[[#This Row],[No of Products in one Sale]]*(1-Table_3[[#This Row],[Discount]])</f>
        <v>368.57289597311035</v>
      </c>
      <c r="O527">
        <v>164.62358671123826</v>
      </c>
      <c r="P527">
        <v>0.86159384857107002</v>
      </c>
    </row>
    <row r="528" spans="1:16" ht="14.25" customHeight="1">
      <c r="A528" s="1" t="s">
        <v>613</v>
      </c>
      <c r="B528" s="1" t="s">
        <v>887</v>
      </c>
      <c r="C528" s="3">
        <v>44787</v>
      </c>
      <c r="D528" s="1" t="s">
        <v>901</v>
      </c>
      <c r="E528" s="1" t="s">
        <v>896</v>
      </c>
      <c r="F528" s="1">
        <v>60</v>
      </c>
      <c r="G528" s="1" t="s">
        <v>3</v>
      </c>
      <c r="H528" s="4">
        <v>7</v>
      </c>
      <c r="I528" s="5">
        <f t="shared" ca="1" si="0"/>
        <v>0.70634928833346855</v>
      </c>
      <c r="J528">
        <f ca="1">Table_3[[#This Row],[Price of One Product]]*Table_3[[#This Row],[No of Products in one Sale]]*(1-Table_3[[#This Row],[Discount]])</f>
        <v>123.3332988999432</v>
      </c>
      <c r="O528">
        <v>322.97068614106621</v>
      </c>
      <c r="P528">
        <v>0.16196096318338526</v>
      </c>
    </row>
    <row r="529" spans="1:16" ht="14.25" customHeight="1">
      <c r="A529" s="1" t="s">
        <v>614</v>
      </c>
      <c r="B529" s="1" t="s">
        <v>883</v>
      </c>
      <c r="C529" s="3">
        <v>44763</v>
      </c>
      <c r="D529" s="1" t="s">
        <v>895</v>
      </c>
      <c r="E529" s="1" t="s">
        <v>896</v>
      </c>
      <c r="F529" s="1">
        <v>72</v>
      </c>
      <c r="G529" s="1" t="s">
        <v>1</v>
      </c>
      <c r="H529" s="4">
        <v>7</v>
      </c>
      <c r="I529" s="5">
        <f t="shared" ca="1" si="0"/>
        <v>0.9692285458595068</v>
      </c>
      <c r="J529">
        <f ca="1">Table_3[[#This Row],[Price of One Product]]*Table_3[[#This Row],[No of Products in one Sale]]*(1-Table_3[[#This Row],[Discount]])</f>
        <v>15.508812886808574</v>
      </c>
      <c r="O529">
        <v>294.05544200995536</v>
      </c>
      <c r="P529">
        <v>0.55634991769411146</v>
      </c>
    </row>
    <row r="530" spans="1:16" ht="14.25" customHeight="1">
      <c r="A530" s="1" t="s">
        <v>615</v>
      </c>
      <c r="B530" s="1" t="s">
        <v>884</v>
      </c>
      <c r="C530" s="3">
        <v>44799</v>
      </c>
      <c r="D530" s="1" t="s">
        <v>897</v>
      </c>
      <c r="E530" s="1" t="s">
        <v>896</v>
      </c>
      <c r="F530" s="1">
        <v>65</v>
      </c>
      <c r="G530" s="1" t="s">
        <v>2</v>
      </c>
      <c r="H530" s="4">
        <v>12</v>
      </c>
      <c r="I530" s="5">
        <f t="shared" ca="1" si="0"/>
        <v>0.1818436980171132</v>
      </c>
      <c r="J530">
        <f ca="1">Table_3[[#This Row],[Price of One Product]]*Table_3[[#This Row],[No of Products in one Sale]]*(1-Table_3[[#This Row],[Discount]])</f>
        <v>638.1619155466517</v>
      </c>
      <c r="O530">
        <v>383.5834062330963</v>
      </c>
      <c r="P530">
        <v>0.4618509820325285</v>
      </c>
    </row>
    <row r="531" spans="1:16" ht="14.25" customHeight="1">
      <c r="A531" s="1" t="s">
        <v>616</v>
      </c>
      <c r="B531" s="1" t="s">
        <v>885</v>
      </c>
      <c r="C531" s="3">
        <v>44798</v>
      </c>
      <c r="D531" s="1" t="s">
        <v>899</v>
      </c>
      <c r="E531" s="1" t="s">
        <v>898</v>
      </c>
      <c r="F531" s="1">
        <v>250</v>
      </c>
      <c r="G531" s="1" t="s">
        <v>3</v>
      </c>
      <c r="H531" s="4">
        <v>1</v>
      </c>
      <c r="I531" s="5">
        <f t="shared" ca="1" si="0"/>
        <v>0.80555842844998871</v>
      </c>
      <c r="J531">
        <f ca="1">Table_3[[#This Row],[Price of One Product]]*Table_3[[#This Row],[No of Products in one Sale]]*(1-Table_3[[#This Row],[Discount]])</f>
        <v>48.610392887502826</v>
      </c>
      <c r="O531">
        <v>28.746844672776799</v>
      </c>
      <c r="P531">
        <v>0.99050892980414029</v>
      </c>
    </row>
    <row r="532" spans="1:16" ht="14.25" customHeight="1">
      <c r="A532" s="1" t="s">
        <v>617</v>
      </c>
      <c r="B532" s="1" t="s">
        <v>886</v>
      </c>
      <c r="C532" s="3">
        <v>44807</v>
      </c>
      <c r="D532" s="1" t="s">
        <v>900</v>
      </c>
      <c r="E532" s="1" t="s">
        <v>896</v>
      </c>
      <c r="F532" s="1">
        <v>130</v>
      </c>
      <c r="G532" s="1" t="s">
        <v>1</v>
      </c>
      <c r="H532" s="4">
        <v>2</v>
      </c>
      <c r="I532" s="5">
        <f t="shared" ca="1" si="0"/>
        <v>0.92807034924205289</v>
      </c>
      <c r="J532">
        <f ca="1">Table_3[[#This Row],[Price of One Product]]*Table_3[[#This Row],[No of Products in one Sale]]*(1-Table_3[[#This Row],[Discount]])</f>
        <v>18.701709197066247</v>
      </c>
      <c r="O532">
        <v>184.14907350028739</v>
      </c>
      <c r="P532">
        <v>0.11398005114833354</v>
      </c>
    </row>
    <row r="533" spans="1:16" ht="14.25" customHeight="1">
      <c r="A533" s="1" t="s">
        <v>618</v>
      </c>
      <c r="B533" s="1" t="s">
        <v>883</v>
      </c>
      <c r="C533" s="3">
        <v>44769</v>
      </c>
      <c r="D533" s="1" t="s">
        <v>895</v>
      </c>
      <c r="E533" s="1" t="s">
        <v>896</v>
      </c>
      <c r="F533" s="1">
        <v>72</v>
      </c>
      <c r="G533" s="1" t="s">
        <v>2</v>
      </c>
      <c r="H533" s="4">
        <v>7</v>
      </c>
      <c r="I533" s="5">
        <f t="shared" ca="1" si="0"/>
        <v>0.29031860800716514</v>
      </c>
      <c r="J533">
        <f ca="1">Table_3[[#This Row],[Price of One Product]]*Table_3[[#This Row],[No of Products in one Sale]]*(1-Table_3[[#This Row],[Discount]])</f>
        <v>357.67942156438875</v>
      </c>
      <c r="O533">
        <v>116.15118106331347</v>
      </c>
      <c r="P533">
        <v>0.65356759862408176</v>
      </c>
    </row>
    <row r="534" spans="1:16" ht="14.25" customHeight="1">
      <c r="A534" s="1" t="s">
        <v>619</v>
      </c>
      <c r="B534" s="1" t="s">
        <v>884</v>
      </c>
      <c r="C534" s="3">
        <v>44779</v>
      </c>
      <c r="D534" s="1" t="s">
        <v>897</v>
      </c>
      <c r="E534" s="1" t="s">
        <v>896</v>
      </c>
      <c r="F534" s="1">
        <v>65</v>
      </c>
      <c r="G534" s="1" t="s">
        <v>3</v>
      </c>
      <c r="H534" s="4">
        <v>3</v>
      </c>
      <c r="I534" s="5">
        <f t="shared" ca="1" si="0"/>
        <v>0.46294222595097245</v>
      </c>
      <c r="J534">
        <f ca="1">Table_3[[#This Row],[Price of One Product]]*Table_3[[#This Row],[No of Products in one Sale]]*(1-Table_3[[#This Row],[Discount]])</f>
        <v>104.72626593956038</v>
      </c>
      <c r="O534">
        <v>190.31646402699994</v>
      </c>
      <c r="P534">
        <v>0.7546777703369788</v>
      </c>
    </row>
    <row r="535" spans="1:16" ht="14.25" customHeight="1">
      <c r="A535" s="1" t="s">
        <v>620</v>
      </c>
      <c r="B535" s="1" t="s">
        <v>885</v>
      </c>
      <c r="C535" s="3">
        <v>44769</v>
      </c>
      <c r="D535" s="1" t="s">
        <v>899</v>
      </c>
      <c r="E535" s="1" t="s">
        <v>896</v>
      </c>
      <c r="F535" s="1">
        <v>250</v>
      </c>
      <c r="G535" s="1" t="s">
        <v>1</v>
      </c>
      <c r="H535" s="4">
        <v>2</v>
      </c>
      <c r="I535" s="5">
        <f t="shared" ca="1" si="0"/>
        <v>0.4821579204697457</v>
      </c>
      <c r="J535">
        <f ca="1">Table_3[[#This Row],[Price of One Product]]*Table_3[[#This Row],[No of Products in one Sale]]*(1-Table_3[[#This Row],[Discount]])</f>
        <v>258.92103976512715</v>
      </c>
      <c r="O535">
        <v>76.103486897229175</v>
      </c>
      <c r="P535">
        <v>0.90064833453853343</v>
      </c>
    </row>
    <row r="536" spans="1:16" ht="14.25" customHeight="1">
      <c r="A536" s="1" t="s">
        <v>621</v>
      </c>
      <c r="B536" s="1" t="s">
        <v>886</v>
      </c>
      <c r="C536" s="3">
        <v>44756</v>
      </c>
      <c r="D536" s="1" t="s">
        <v>900</v>
      </c>
      <c r="E536" s="1" t="s">
        <v>896</v>
      </c>
      <c r="F536" s="1">
        <v>130</v>
      </c>
      <c r="G536" s="1" t="s">
        <v>2</v>
      </c>
      <c r="H536" s="4">
        <v>3</v>
      </c>
      <c r="I536" s="5">
        <f t="shared" ca="1" si="0"/>
        <v>0.2299360497360381</v>
      </c>
      <c r="J536">
        <f ca="1">Table_3[[#This Row],[Price of One Product]]*Table_3[[#This Row],[No of Products in one Sale]]*(1-Table_3[[#This Row],[Discount]])</f>
        <v>300.32494060294516</v>
      </c>
      <c r="O536">
        <v>189.37424084108585</v>
      </c>
      <c r="P536">
        <v>0.18435288214581458</v>
      </c>
    </row>
    <row r="537" spans="1:16" ht="14.25" customHeight="1">
      <c r="A537" s="1" t="s">
        <v>622</v>
      </c>
      <c r="B537" s="1" t="s">
        <v>887</v>
      </c>
      <c r="C537" s="3">
        <v>44799</v>
      </c>
      <c r="D537" s="1" t="s">
        <v>901</v>
      </c>
      <c r="E537" s="1" t="s">
        <v>898</v>
      </c>
      <c r="F537" s="1">
        <v>60</v>
      </c>
      <c r="G537" s="1" t="s">
        <v>3</v>
      </c>
      <c r="H537" s="4">
        <v>12</v>
      </c>
      <c r="I537" s="5">
        <f t="shared" ca="1" si="0"/>
        <v>0.4368743737263614</v>
      </c>
      <c r="J537">
        <f ca="1">Table_3[[#This Row],[Price of One Product]]*Table_3[[#This Row],[No of Products in one Sale]]*(1-Table_3[[#This Row],[Discount]])</f>
        <v>405.45045091701979</v>
      </c>
      <c r="O537">
        <v>441.64013285218522</v>
      </c>
      <c r="P537">
        <v>0.76951807508061909</v>
      </c>
    </row>
    <row r="538" spans="1:16" ht="14.25" customHeight="1">
      <c r="A538" s="1" t="s">
        <v>623</v>
      </c>
      <c r="B538" s="1" t="s">
        <v>888</v>
      </c>
      <c r="C538" s="3">
        <v>44807</v>
      </c>
      <c r="D538" s="1" t="s">
        <v>902</v>
      </c>
      <c r="E538" s="1" t="s">
        <v>896</v>
      </c>
      <c r="F538" s="1">
        <v>95</v>
      </c>
      <c r="G538" s="1" t="s">
        <v>1</v>
      </c>
      <c r="H538" s="4">
        <v>3</v>
      </c>
      <c r="I538" s="5">
        <f t="shared" ca="1" si="0"/>
        <v>0.95481380506425773</v>
      </c>
      <c r="J538">
        <f ca="1">Table_3[[#This Row],[Price of One Product]]*Table_3[[#This Row],[No of Products in one Sale]]*(1-Table_3[[#This Row],[Discount]])</f>
        <v>12.878065556686549</v>
      </c>
      <c r="O538">
        <v>240.06092224014452</v>
      </c>
      <c r="P538">
        <v>0.63242040339278138</v>
      </c>
    </row>
    <row r="539" spans="1:16" ht="14.25" customHeight="1">
      <c r="A539" s="1" t="s">
        <v>624</v>
      </c>
      <c r="B539" s="1" t="s">
        <v>883</v>
      </c>
      <c r="C539" s="3">
        <v>44769</v>
      </c>
      <c r="D539" s="1" t="s">
        <v>895</v>
      </c>
      <c r="E539" s="1" t="s">
        <v>896</v>
      </c>
      <c r="F539" s="1">
        <v>72</v>
      </c>
      <c r="G539" s="1" t="s">
        <v>2</v>
      </c>
      <c r="H539" s="4">
        <v>6</v>
      </c>
      <c r="I539" s="5">
        <f t="shared" ca="1" si="0"/>
        <v>0.94355068639627082</v>
      </c>
      <c r="J539">
        <f ca="1">Table_3[[#This Row],[Price of One Product]]*Table_3[[#This Row],[No of Products in one Sale]]*(1-Table_3[[#This Row],[Discount]])</f>
        <v>24.386103476811005</v>
      </c>
      <c r="O539">
        <v>371.28215661801727</v>
      </c>
      <c r="P539">
        <v>0.67568174295340111</v>
      </c>
    </row>
    <row r="540" spans="1:16" ht="14.25" customHeight="1">
      <c r="A540" s="1" t="s">
        <v>625</v>
      </c>
      <c r="B540" s="1" t="s">
        <v>884</v>
      </c>
      <c r="C540" s="3">
        <v>44805</v>
      </c>
      <c r="D540" s="1" t="s">
        <v>897</v>
      </c>
      <c r="E540" s="1" t="s">
        <v>896</v>
      </c>
      <c r="F540" s="1">
        <v>65</v>
      </c>
      <c r="G540" s="1" t="s">
        <v>3</v>
      </c>
      <c r="H540" s="4">
        <v>5</v>
      </c>
      <c r="I540" s="5">
        <f t="shared" ca="1" si="0"/>
        <v>0.36242830472767207</v>
      </c>
      <c r="J540">
        <f ca="1">Table_3[[#This Row],[Price of One Product]]*Table_3[[#This Row],[No of Products in one Sale]]*(1-Table_3[[#This Row],[Discount]])</f>
        <v>207.21080096350659</v>
      </c>
      <c r="O540">
        <v>172.15596276299863</v>
      </c>
      <c r="P540">
        <v>2.1010788053634766E-3</v>
      </c>
    </row>
    <row r="541" spans="1:16" ht="14.25" customHeight="1">
      <c r="A541" s="1" t="s">
        <v>626</v>
      </c>
      <c r="B541" s="1" t="s">
        <v>885</v>
      </c>
      <c r="C541" s="3">
        <v>44796</v>
      </c>
      <c r="D541" s="1" t="s">
        <v>899</v>
      </c>
      <c r="E541" s="1" t="s">
        <v>898</v>
      </c>
      <c r="F541" s="1">
        <v>250</v>
      </c>
      <c r="G541" s="1" t="s">
        <v>1</v>
      </c>
      <c r="H541" s="4">
        <v>3</v>
      </c>
      <c r="I541" s="5">
        <f t="shared" ca="1" si="0"/>
        <v>0.38098424403783337</v>
      </c>
      <c r="J541">
        <f ca="1">Table_3[[#This Row],[Price of One Product]]*Table_3[[#This Row],[No of Products in one Sale]]*(1-Table_3[[#This Row],[Discount]])</f>
        <v>464.26181697162497</v>
      </c>
      <c r="O541">
        <v>566.17293258761413</v>
      </c>
      <c r="P541">
        <v>0.9113413345912742</v>
      </c>
    </row>
    <row r="542" spans="1:16" ht="14.25" customHeight="1">
      <c r="A542" s="1" t="s">
        <v>627</v>
      </c>
      <c r="B542" s="1" t="s">
        <v>886</v>
      </c>
      <c r="C542" s="3">
        <v>44798</v>
      </c>
      <c r="D542" s="1" t="s">
        <v>900</v>
      </c>
      <c r="E542" s="1" t="s">
        <v>898</v>
      </c>
      <c r="F542" s="1">
        <v>130</v>
      </c>
      <c r="G542" s="1" t="s">
        <v>2</v>
      </c>
      <c r="H542" s="4">
        <v>5</v>
      </c>
      <c r="I542" s="5">
        <f t="shared" ca="1" si="0"/>
        <v>0.25863048534040012</v>
      </c>
      <c r="J542">
        <f ca="1">Table_3[[#This Row],[Price of One Product]]*Table_3[[#This Row],[No of Products in one Sale]]*(1-Table_3[[#This Row],[Discount]])</f>
        <v>481.89018452873995</v>
      </c>
      <c r="O542">
        <v>15.546099228093945</v>
      </c>
      <c r="P542">
        <v>0.72477469453679566</v>
      </c>
    </row>
    <row r="543" spans="1:16" ht="14.25" customHeight="1">
      <c r="A543" s="1" t="s">
        <v>628</v>
      </c>
      <c r="B543" s="1" t="s">
        <v>883</v>
      </c>
      <c r="C543" s="3">
        <v>44756</v>
      </c>
      <c r="D543" s="1" t="s">
        <v>895</v>
      </c>
      <c r="E543" s="1" t="s">
        <v>898</v>
      </c>
      <c r="F543" s="1">
        <v>72</v>
      </c>
      <c r="G543" s="1" t="s">
        <v>3</v>
      </c>
      <c r="H543" s="4">
        <v>6</v>
      </c>
      <c r="I543" s="5">
        <f t="shared" ca="1" si="0"/>
        <v>0.13877749456152233</v>
      </c>
      <c r="J543">
        <f ca="1">Table_3[[#This Row],[Price of One Product]]*Table_3[[#This Row],[No of Products in one Sale]]*(1-Table_3[[#This Row],[Discount]])</f>
        <v>372.04812234942233</v>
      </c>
      <c r="O543">
        <v>254.88214652190473</v>
      </c>
      <c r="P543">
        <v>0.69416186581153139</v>
      </c>
    </row>
    <row r="544" spans="1:16" ht="14.25" customHeight="1">
      <c r="A544" s="1" t="s">
        <v>629</v>
      </c>
      <c r="B544" s="1" t="s">
        <v>884</v>
      </c>
      <c r="C544" s="3">
        <v>44800</v>
      </c>
      <c r="D544" s="1" t="s">
        <v>897</v>
      </c>
      <c r="E544" s="1" t="s">
        <v>898</v>
      </c>
      <c r="F544" s="1">
        <v>65</v>
      </c>
      <c r="G544" s="1" t="s">
        <v>1</v>
      </c>
      <c r="H544" s="4">
        <v>11</v>
      </c>
      <c r="I544" s="5">
        <f t="shared" ca="1" si="0"/>
        <v>0.60300297787164792</v>
      </c>
      <c r="J544">
        <f ca="1">Table_3[[#This Row],[Price of One Product]]*Table_3[[#This Row],[No of Products in one Sale]]*(1-Table_3[[#This Row],[Discount]])</f>
        <v>283.85287082177172</v>
      </c>
      <c r="O544">
        <v>624.51306070771921</v>
      </c>
      <c r="P544">
        <v>0.91209204768109331</v>
      </c>
    </row>
    <row r="545" spans="1:16" ht="14.25" customHeight="1">
      <c r="A545" s="1" t="s">
        <v>630</v>
      </c>
      <c r="B545" s="1" t="s">
        <v>885</v>
      </c>
      <c r="C545" s="3">
        <v>44758</v>
      </c>
      <c r="D545" s="1" t="s">
        <v>899</v>
      </c>
      <c r="E545" s="1" t="s">
        <v>898</v>
      </c>
      <c r="F545" s="1">
        <v>250</v>
      </c>
      <c r="G545" s="1" t="s">
        <v>2</v>
      </c>
      <c r="H545" s="4">
        <v>1</v>
      </c>
      <c r="I545" s="5">
        <f t="shared" ca="1" si="0"/>
        <v>0.75906206943274324</v>
      </c>
      <c r="J545">
        <f ca="1">Table_3[[#This Row],[Price of One Product]]*Table_3[[#This Row],[No of Products in one Sale]]*(1-Table_3[[#This Row],[Discount]])</f>
        <v>60.234482641814189</v>
      </c>
      <c r="O545">
        <v>52.024840981412162</v>
      </c>
      <c r="P545">
        <v>0.5454628503629062</v>
      </c>
    </row>
    <row r="546" spans="1:16" ht="14.25" customHeight="1">
      <c r="A546" s="1" t="s">
        <v>631</v>
      </c>
      <c r="B546" s="1" t="s">
        <v>886</v>
      </c>
      <c r="C546" s="3">
        <v>44788</v>
      </c>
      <c r="D546" s="1" t="s">
        <v>900</v>
      </c>
      <c r="E546" s="1" t="s">
        <v>898</v>
      </c>
      <c r="F546" s="1">
        <v>130</v>
      </c>
      <c r="G546" s="1" t="s">
        <v>3</v>
      </c>
      <c r="H546" s="4">
        <v>3</v>
      </c>
      <c r="I546" s="5">
        <f t="shared" ca="1" si="0"/>
        <v>6.938664571033426E-2</v>
      </c>
      <c r="J546">
        <f ca="1">Table_3[[#This Row],[Price of One Product]]*Table_3[[#This Row],[No of Products in one Sale]]*(1-Table_3[[#This Row],[Discount]])</f>
        <v>362.93920817296964</v>
      </c>
      <c r="O546">
        <v>173.14877887409097</v>
      </c>
      <c r="P546">
        <v>0.41685081892466003</v>
      </c>
    </row>
    <row r="547" spans="1:16" ht="14.25" customHeight="1">
      <c r="A547" s="1" t="s">
        <v>632</v>
      </c>
      <c r="B547" s="1" t="s">
        <v>883</v>
      </c>
      <c r="C547" s="3">
        <v>44793</v>
      </c>
      <c r="D547" s="1" t="s">
        <v>895</v>
      </c>
      <c r="E547" s="1" t="s">
        <v>896</v>
      </c>
      <c r="F547" s="1">
        <v>72</v>
      </c>
      <c r="G547" s="1" t="s">
        <v>3</v>
      </c>
      <c r="H547" s="4">
        <v>10</v>
      </c>
      <c r="I547" s="5">
        <f t="shared" ca="1" si="0"/>
        <v>0.96962387155648444</v>
      </c>
      <c r="J547">
        <f ca="1">Table_3[[#This Row],[Price of One Product]]*Table_3[[#This Row],[No of Products in one Sale]]*(1-Table_3[[#This Row],[Discount]])</f>
        <v>21.870812479331203</v>
      </c>
      <c r="O547">
        <v>242.11191021432171</v>
      </c>
      <c r="P547">
        <v>0.1201908465750029</v>
      </c>
    </row>
    <row r="548" spans="1:16" ht="14.25" customHeight="1">
      <c r="A548" s="1" t="s">
        <v>633</v>
      </c>
      <c r="B548" s="1" t="s">
        <v>884</v>
      </c>
      <c r="C548" s="3">
        <v>44784</v>
      </c>
      <c r="D548" s="1" t="s">
        <v>897</v>
      </c>
      <c r="E548" s="1" t="s">
        <v>898</v>
      </c>
      <c r="F548" s="1">
        <v>65</v>
      </c>
      <c r="G548" s="1" t="s">
        <v>1</v>
      </c>
      <c r="H548" s="4">
        <v>6</v>
      </c>
      <c r="I548" s="5">
        <f t="shared" ca="1" si="0"/>
        <v>0.43843240661519289</v>
      </c>
      <c r="J548">
        <f ca="1">Table_3[[#This Row],[Price of One Product]]*Table_3[[#This Row],[No of Products in one Sale]]*(1-Table_3[[#This Row],[Discount]])</f>
        <v>219.01136142007476</v>
      </c>
      <c r="O548">
        <v>129.76795931486186</v>
      </c>
      <c r="P548">
        <v>0.33679376529421323</v>
      </c>
    </row>
    <row r="549" spans="1:16" ht="14.25" customHeight="1">
      <c r="A549" s="1" t="s">
        <v>634</v>
      </c>
      <c r="B549" s="1" t="s">
        <v>885</v>
      </c>
      <c r="C549" s="3">
        <v>44793</v>
      </c>
      <c r="D549" s="1" t="s">
        <v>899</v>
      </c>
      <c r="E549" s="1" t="s">
        <v>896</v>
      </c>
      <c r="F549" s="1">
        <v>250</v>
      </c>
      <c r="G549" s="1" t="s">
        <v>2</v>
      </c>
      <c r="H549" s="4">
        <v>2</v>
      </c>
      <c r="I549" s="5">
        <f t="shared" ca="1" si="0"/>
        <v>0.12397400344507015</v>
      </c>
      <c r="J549">
        <f ca="1">Table_3[[#This Row],[Price of One Product]]*Table_3[[#This Row],[No of Products in one Sale]]*(1-Table_3[[#This Row],[Discount]])</f>
        <v>438.01299827746493</v>
      </c>
      <c r="O549">
        <v>37.674805559225696</v>
      </c>
      <c r="P549">
        <v>5.1691512441305987E-2</v>
      </c>
    </row>
    <row r="550" spans="1:16" ht="14.25" customHeight="1">
      <c r="A550" s="1" t="s">
        <v>635</v>
      </c>
      <c r="B550" s="1" t="s">
        <v>886</v>
      </c>
      <c r="C550" s="3">
        <v>44796</v>
      </c>
      <c r="D550" s="1" t="s">
        <v>900</v>
      </c>
      <c r="E550" s="1" t="s">
        <v>898</v>
      </c>
      <c r="F550" s="1">
        <v>130</v>
      </c>
      <c r="G550" s="1" t="s">
        <v>3</v>
      </c>
      <c r="H550" s="4">
        <v>5</v>
      </c>
      <c r="I550" s="5">
        <f t="shared" ca="1" si="0"/>
        <v>0.53504764801833149</v>
      </c>
      <c r="J550">
        <f ca="1">Table_3[[#This Row],[Price of One Product]]*Table_3[[#This Row],[No of Products in one Sale]]*(1-Table_3[[#This Row],[Discount]])</f>
        <v>302.21902878808453</v>
      </c>
      <c r="O550">
        <v>255.7377606494791</v>
      </c>
      <c r="P550">
        <v>9.2119236286887785E-2</v>
      </c>
    </row>
    <row r="551" spans="1:16" ht="14.25" customHeight="1">
      <c r="A551" s="1" t="s">
        <v>636</v>
      </c>
      <c r="B551" s="1" t="s">
        <v>883</v>
      </c>
      <c r="C551" s="3">
        <v>44758</v>
      </c>
      <c r="D551" s="1" t="s">
        <v>895</v>
      </c>
      <c r="E551" s="1" t="s">
        <v>896</v>
      </c>
      <c r="F551" s="1">
        <v>72</v>
      </c>
      <c r="G551" s="1" t="s">
        <v>1</v>
      </c>
      <c r="H551" s="4">
        <v>9</v>
      </c>
      <c r="I551" s="5">
        <f t="shared" ca="1" si="0"/>
        <v>0.62184188885977698</v>
      </c>
      <c r="J551">
        <f ca="1">Table_3[[#This Row],[Price of One Product]]*Table_3[[#This Row],[No of Products in one Sale]]*(1-Table_3[[#This Row],[Discount]])</f>
        <v>245.04645601886452</v>
      </c>
      <c r="O551">
        <v>132.51611274442911</v>
      </c>
      <c r="P551">
        <v>0.94932017495478471</v>
      </c>
    </row>
    <row r="552" spans="1:16" ht="14.25" customHeight="1">
      <c r="A552" s="1" t="s">
        <v>637</v>
      </c>
      <c r="B552" s="1" t="s">
        <v>884</v>
      </c>
      <c r="C552" s="3">
        <v>44757</v>
      </c>
      <c r="D552" s="1" t="s">
        <v>897</v>
      </c>
      <c r="E552" s="1" t="s">
        <v>898</v>
      </c>
      <c r="F552" s="1">
        <v>65</v>
      </c>
      <c r="G552" s="1" t="s">
        <v>2</v>
      </c>
      <c r="H552" s="4">
        <v>5</v>
      </c>
      <c r="I552" s="5">
        <f t="shared" ca="1" si="0"/>
        <v>0.12343597642996362</v>
      </c>
      <c r="J552">
        <f ca="1">Table_3[[#This Row],[Price of One Product]]*Table_3[[#This Row],[No of Products in one Sale]]*(1-Table_3[[#This Row],[Discount]])</f>
        <v>284.88330766026183</v>
      </c>
      <c r="O552">
        <v>78.144598249003948</v>
      </c>
      <c r="P552">
        <v>0.72074224408234489</v>
      </c>
    </row>
    <row r="553" spans="1:16" ht="14.25" customHeight="1">
      <c r="A553" s="1" t="s">
        <v>638</v>
      </c>
      <c r="B553" s="1" t="s">
        <v>885</v>
      </c>
      <c r="C553" s="3">
        <v>44758</v>
      </c>
      <c r="D553" s="1" t="s">
        <v>899</v>
      </c>
      <c r="E553" s="1" t="s">
        <v>896</v>
      </c>
      <c r="F553" s="1">
        <v>250</v>
      </c>
      <c r="G553" s="1" t="s">
        <v>3</v>
      </c>
      <c r="H553" s="4">
        <v>1</v>
      </c>
      <c r="I553" s="5">
        <f t="shared" ca="1" si="0"/>
        <v>0.658998961656862</v>
      </c>
      <c r="J553">
        <f ca="1">Table_3[[#This Row],[Price of One Product]]*Table_3[[#This Row],[No of Products in one Sale]]*(1-Table_3[[#This Row],[Discount]])</f>
        <v>85.250259585784505</v>
      </c>
      <c r="O553">
        <v>8.9145817021845648</v>
      </c>
      <c r="P553">
        <v>0.91149112503752616</v>
      </c>
    </row>
    <row r="554" spans="1:16" ht="14.25" customHeight="1">
      <c r="A554" s="1" t="s">
        <v>639</v>
      </c>
      <c r="B554" s="1" t="s">
        <v>886</v>
      </c>
      <c r="C554" s="3">
        <v>44800</v>
      </c>
      <c r="D554" s="1" t="s">
        <v>900</v>
      </c>
      <c r="E554" s="1" t="s">
        <v>898</v>
      </c>
      <c r="F554" s="1">
        <v>130</v>
      </c>
      <c r="G554" s="1" t="s">
        <v>1</v>
      </c>
      <c r="H554" s="4">
        <v>3</v>
      </c>
      <c r="I554" s="5">
        <f t="shared" ca="1" si="0"/>
        <v>0.5547688060540702</v>
      </c>
      <c r="J554">
        <f ca="1">Table_3[[#This Row],[Price of One Product]]*Table_3[[#This Row],[No of Products in one Sale]]*(1-Table_3[[#This Row],[Discount]])</f>
        <v>173.64016563891263</v>
      </c>
      <c r="O554">
        <v>53.573725251969456</v>
      </c>
      <c r="P554">
        <v>0.73912692832987725</v>
      </c>
    </row>
    <row r="555" spans="1:16" ht="14.25" customHeight="1">
      <c r="A555" s="1" t="s">
        <v>640</v>
      </c>
      <c r="B555" s="1" t="s">
        <v>887</v>
      </c>
      <c r="C555" s="3">
        <v>44780</v>
      </c>
      <c r="D555" s="1" t="s">
        <v>901</v>
      </c>
      <c r="E555" s="1" t="s">
        <v>896</v>
      </c>
      <c r="F555" s="1">
        <v>60</v>
      </c>
      <c r="G555" s="1" t="s">
        <v>2</v>
      </c>
      <c r="H555" s="4">
        <v>7</v>
      </c>
      <c r="I555" s="5">
        <f t="shared" ca="1" si="0"/>
        <v>0.29839022020462902</v>
      </c>
      <c r="J555">
        <f ca="1">Table_3[[#This Row],[Price of One Product]]*Table_3[[#This Row],[No of Products in one Sale]]*(1-Table_3[[#This Row],[Discount]])</f>
        <v>294.67610751405579</v>
      </c>
      <c r="O555">
        <v>137.91452156545461</v>
      </c>
      <c r="P555">
        <v>0.49259561149637909</v>
      </c>
    </row>
    <row r="556" spans="1:16" ht="14.25" customHeight="1">
      <c r="A556" s="1" t="s">
        <v>641</v>
      </c>
      <c r="B556" s="1" t="s">
        <v>883</v>
      </c>
      <c r="C556" s="3">
        <v>44807</v>
      </c>
      <c r="D556" s="1" t="s">
        <v>895</v>
      </c>
      <c r="E556" s="1" t="s">
        <v>898</v>
      </c>
      <c r="F556" s="1">
        <v>72</v>
      </c>
      <c r="G556" s="1" t="s">
        <v>3</v>
      </c>
      <c r="H556" s="4">
        <v>12</v>
      </c>
      <c r="I556" s="5">
        <f t="shared" ca="1" si="0"/>
        <v>0.65531714949082076</v>
      </c>
      <c r="J556">
        <f ca="1">Table_3[[#This Row],[Price of One Product]]*Table_3[[#This Row],[No of Products in one Sale]]*(1-Table_3[[#This Row],[Discount]])</f>
        <v>297.80598283993083</v>
      </c>
      <c r="O556">
        <v>767.74000502464378</v>
      </c>
      <c r="P556">
        <v>0.63842443646342095</v>
      </c>
    </row>
    <row r="557" spans="1:16" ht="14.25" customHeight="1">
      <c r="A557" s="1" t="s">
        <v>642</v>
      </c>
      <c r="B557" s="1" t="s">
        <v>884</v>
      </c>
      <c r="C557" s="3">
        <v>44798</v>
      </c>
      <c r="D557" s="1" t="s">
        <v>897</v>
      </c>
      <c r="E557" s="1" t="s">
        <v>896</v>
      </c>
      <c r="F557" s="1">
        <v>65</v>
      </c>
      <c r="G557" s="1" t="s">
        <v>1</v>
      </c>
      <c r="H557" s="4">
        <v>12</v>
      </c>
      <c r="I557" s="5">
        <f t="shared" ca="1" si="0"/>
        <v>5.0499852430504588E-2</v>
      </c>
      <c r="J557">
        <f ca="1">Table_3[[#This Row],[Price of One Product]]*Table_3[[#This Row],[No of Products in one Sale]]*(1-Table_3[[#This Row],[Discount]])</f>
        <v>740.61011510420644</v>
      </c>
      <c r="O557">
        <v>342.55451818652813</v>
      </c>
      <c r="P557">
        <v>0.97140447441840394</v>
      </c>
    </row>
    <row r="558" spans="1:16" ht="14.25" customHeight="1">
      <c r="A558" s="1" t="s">
        <v>643</v>
      </c>
      <c r="B558" s="1" t="s">
        <v>885</v>
      </c>
      <c r="C558" s="3">
        <v>44810</v>
      </c>
      <c r="D558" s="1" t="s">
        <v>899</v>
      </c>
      <c r="E558" s="1" t="s">
        <v>898</v>
      </c>
      <c r="F558" s="1">
        <v>250</v>
      </c>
      <c r="G558" s="1" t="s">
        <v>2</v>
      </c>
      <c r="H558" s="4">
        <v>3</v>
      </c>
      <c r="I558" s="5">
        <f t="shared" ca="1" si="0"/>
        <v>0.79598232003294089</v>
      </c>
      <c r="J558">
        <f ca="1">Table_3[[#This Row],[Price of One Product]]*Table_3[[#This Row],[No of Products in one Sale]]*(1-Table_3[[#This Row],[Discount]])</f>
        <v>153.01325997529432</v>
      </c>
      <c r="O558">
        <v>173.94416945710807</v>
      </c>
      <c r="P558">
        <v>0.67261953120881468</v>
      </c>
    </row>
    <row r="559" spans="1:16" ht="14.25" customHeight="1">
      <c r="A559" s="1" t="s">
        <v>644</v>
      </c>
      <c r="B559" s="1" t="s">
        <v>886</v>
      </c>
      <c r="C559" s="3">
        <v>44764</v>
      </c>
      <c r="D559" s="1" t="s">
        <v>900</v>
      </c>
      <c r="E559" s="1" t="s">
        <v>896</v>
      </c>
      <c r="F559" s="1">
        <v>130</v>
      </c>
      <c r="G559" s="1" t="s">
        <v>3</v>
      </c>
      <c r="H559" s="4">
        <v>5</v>
      </c>
      <c r="I559" s="5">
        <f t="shared" ca="1" si="0"/>
        <v>0.60776499518139382</v>
      </c>
      <c r="J559">
        <f ca="1">Table_3[[#This Row],[Price of One Product]]*Table_3[[#This Row],[No of Products in one Sale]]*(1-Table_3[[#This Row],[Discount]])</f>
        <v>254.95275313209402</v>
      </c>
      <c r="O559">
        <v>227.17010442310311</v>
      </c>
      <c r="P559">
        <v>0.57945084298509986</v>
      </c>
    </row>
    <row r="560" spans="1:16" ht="14.25" customHeight="1">
      <c r="A560" s="1" t="s">
        <v>645</v>
      </c>
      <c r="B560" s="1" t="s">
        <v>883</v>
      </c>
      <c r="C560" s="3">
        <v>44766</v>
      </c>
      <c r="D560" s="1" t="s">
        <v>895</v>
      </c>
      <c r="E560" s="1" t="s">
        <v>898</v>
      </c>
      <c r="F560" s="1">
        <v>72</v>
      </c>
      <c r="G560" s="1" t="s">
        <v>1</v>
      </c>
      <c r="H560" s="4">
        <v>4</v>
      </c>
      <c r="I560" s="5">
        <f t="shared" ca="1" si="0"/>
        <v>0.89013697811666725</v>
      </c>
      <c r="J560">
        <f ca="1">Table_3[[#This Row],[Price of One Product]]*Table_3[[#This Row],[No of Products in one Sale]]*(1-Table_3[[#This Row],[Discount]])</f>
        <v>31.640550302399831</v>
      </c>
      <c r="O560">
        <v>170.8929438996459</v>
      </c>
      <c r="P560">
        <v>0.14734407775993752</v>
      </c>
    </row>
    <row r="561" spans="1:16" ht="14.25" customHeight="1">
      <c r="A561" s="1" t="s">
        <v>646</v>
      </c>
      <c r="B561" s="1" t="s">
        <v>884</v>
      </c>
      <c r="C561" s="3">
        <v>44794</v>
      </c>
      <c r="D561" s="1" t="s">
        <v>897</v>
      </c>
      <c r="E561" s="1" t="s">
        <v>896</v>
      </c>
      <c r="F561" s="1">
        <v>65</v>
      </c>
      <c r="G561" s="1" t="s">
        <v>2</v>
      </c>
      <c r="H561" s="4">
        <v>9</v>
      </c>
      <c r="I561" s="5">
        <f t="shared" ca="1" si="0"/>
        <v>6.3608543531207151E-2</v>
      </c>
      <c r="J561">
        <f ca="1">Table_3[[#This Row],[Price of One Product]]*Table_3[[#This Row],[No of Products in one Sale]]*(1-Table_3[[#This Row],[Discount]])</f>
        <v>547.78900203424382</v>
      </c>
      <c r="O561">
        <v>146.20365826378173</v>
      </c>
      <c r="P561">
        <v>4.347325041397232E-4</v>
      </c>
    </row>
    <row r="562" spans="1:16" ht="14.25" customHeight="1">
      <c r="A562" s="1" t="s">
        <v>647</v>
      </c>
      <c r="B562" s="1" t="s">
        <v>885</v>
      </c>
      <c r="C562" s="3">
        <v>44800</v>
      </c>
      <c r="D562" s="1" t="s">
        <v>899</v>
      </c>
      <c r="E562" s="1" t="s">
        <v>898</v>
      </c>
      <c r="F562" s="1">
        <v>250</v>
      </c>
      <c r="G562" s="1" t="s">
        <v>3</v>
      </c>
      <c r="H562" s="4">
        <v>3</v>
      </c>
      <c r="I562" s="5">
        <f t="shared" ca="1" si="0"/>
        <v>0.43034015774439827</v>
      </c>
      <c r="J562">
        <f ca="1">Table_3[[#This Row],[Price of One Product]]*Table_3[[#This Row],[No of Products in one Sale]]*(1-Table_3[[#This Row],[Discount]])</f>
        <v>427.24488169170132</v>
      </c>
      <c r="O562">
        <v>570.9326948795001</v>
      </c>
      <c r="P562">
        <v>0.42765309183101197</v>
      </c>
    </row>
    <row r="563" spans="1:16" ht="14.25" customHeight="1">
      <c r="A563" s="1" t="s">
        <v>648</v>
      </c>
      <c r="B563" s="1" t="s">
        <v>886</v>
      </c>
      <c r="C563" s="3">
        <v>44792</v>
      </c>
      <c r="D563" s="1" t="s">
        <v>900</v>
      </c>
      <c r="E563" s="1" t="s">
        <v>896</v>
      </c>
      <c r="F563" s="1">
        <v>130</v>
      </c>
      <c r="G563" s="1" t="s">
        <v>1</v>
      </c>
      <c r="H563" s="4">
        <v>5</v>
      </c>
      <c r="I563" s="5">
        <f t="shared" ca="1" si="0"/>
        <v>0.42221882425396084</v>
      </c>
      <c r="J563">
        <f ca="1">Table_3[[#This Row],[Price of One Product]]*Table_3[[#This Row],[No of Products in one Sale]]*(1-Table_3[[#This Row],[Discount]])</f>
        <v>375.55776423492546</v>
      </c>
      <c r="O563">
        <v>447.69113019166355</v>
      </c>
      <c r="P563">
        <v>0.61563086631075847</v>
      </c>
    </row>
    <row r="564" spans="1:16" ht="14.25" customHeight="1">
      <c r="A564" s="1" t="s">
        <v>649</v>
      </c>
      <c r="B564" s="1" t="s">
        <v>887</v>
      </c>
      <c r="C564" s="3">
        <v>44809</v>
      </c>
      <c r="D564" s="1" t="s">
        <v>901</v>
      </c>
      <c r="E564" s="1" t="s">
        <v>896</v>
      </c>
      <c r="F564" s="1">
        <v>60</v>
      </c>
      <c r="G564" s="1" t="s">
        <v>2</v>
      </c>
      <c r="H564" s="4">
        <v>4</v>
      </c>
      <c r="I564" s="5">
        <f t="shared" ca="1" si="0"/>
        <v>0.40843394208643069</v>
      </c>
      <c r="J564">
        <f ca="1">Table_3[[#This Row],[Price of One Product]]*Table_3[[#This Row],[No of Products in one Sale]]*(1-Table_3[[#This Row],[Discount]])</f>
        <v>141.97585389925663</v>
      </c>
      <c r="O564">
        <v>109.13977936233789</v>
      </c>
      <c r="P564">
        <v>0.45820976688395809</v>
      </c>
    </row>
    <row r="565" spans="1:16" ht="14.25" customHeight="1">
      <c r="A565" s="1" t="s">
        <v>650</v>
      </c>
      <c r="B565" s="1" t="s">
        <v>888</v>
      </c>
      <c r="C565" s="3">
        <v>44789</v>
      </c>
      <c r="D565" s="1" t="s">
        <v>902</v>
      </c>
      <c r="E565" s="1" t="s">
        <v>898</v>
      </c>
      <c r="F565" s="1">
        <v>95</v>
      </c>
      <c r="G565" s="1" t="s">
        <v>3</v>
      </c>
      <c r="H565" s="4">
        <v>8</v>
      </c>
      <c r="I565" s="5">
        <f t="shared" ca="1" si="0"/>
        <v>0.57450444669927547</v>
      </c>
      <c r="J565">
        <f ca="1">Table_3[[#This Row],[Price of One Product]]*Table_3[[#This Row],[No of Products in one Sale]]*(1-Table_3[[#This Row],[Discount]])</f>
        <v>323.37662050855062</v>
      </c>
      <c r="O565">
        <v>193.7943475953922</v>
      </c>
      <c r="P565">
        <v>0.60566847775087929</v>
      </c>
    </row>
    <row r="566" spans="1:16" ht="14.25" customHeight="1">
      <c r="A566" s="1" t="s">
        <v>651</v>
      </c>
      <c r="B566" s="1" t="s">
        <v>883</v>
      </c>
      <c r="C566" s="3">
        <v>44757</v>
      </c>
      <c r="D566" s="1" t="s">
        <v>895</v>
      </c>
      <c r="E566" s="1" t="s">
        <v>898</v>
      </c>
      <c r="F566" s="1">
        <v>72</v>
      </c>
      <c r="G566" s="1" t="s">
        <v>1</v>
      </c>
      <c r="H566" s="4">
        <v>9</v>
      </c>
      <c r="I566" s="5">
        <f t="shared" ca="1" si="0"/>
        <v>3.9309597805202712E-3</v>
      </c>
      <c r="J566">
        <f ca="1">Table_3[[#This Row],[Price of One Product]]*Table_3[[#This Row],[No of Products in one Sale]]*(1-Table_3[[#This Row],[Discount]])</f>
        <v>645.45273806222292</v>
      </c>
      <c r="O566">
        <v>371.26696621027514</v>
      </c>
      <c r="P566">
        <v>0.58300146042506196</v>
      </c>
    </row>
    <row r="567" spans="1:16" ht="14.25" customHeight="1">
      <c r="A567" s="1" t="s">
        <v>652</v>
      </c>
      <c r="B567" s="1" t="s">
        <v>884</v>
      </c>
      <c r="C567" s="3">
        <v>44790</v>
      </c>
      <c r="D567" s="1" t="s">
        <v>897</v>
      </c>
      <c r="E567" s="1" t="s">
        <v>898</v>
      </c>
      <c r="F567" s="1">
        <v>65</v>
      </c>
      <c r="G567" s="1" t="s">
        <v>2</v>
      </c>
      <c r="H567" s="4">
        <v>6</v>
      </c>
      <c r="I567" s="5">
        <f t="shared" ca="1" si="0"/>
        <v>0.68277975781391897</v>
      </c>
      <c r="J567">
        <f ca="1">Table_3[[#This Row],[Price of One Product]]*Table_3[[#This Row],[No of Products in one Sale]]*(1-Table_3[[#This Row],[Discount]])</f>
        <v>123.7158944525716</v>
      </c>
      <c r="O567">
        <v>30.145745284612534</v>
      </c>
      <c r="P567">
        <v>0.72831594494254459</v>
      </c>
    </row>
    <row r="568" spans="1:16" ht="14.25" customHeight="1">
      <c r="A568" s="1" t="s">
        <v>653</v>
      </c>
      <c r="B568" s="1" t="s">
        <v>885</v>
      </c>
      <c r="C568" s="3">
        <v>44808</v>
      </c>
      <c r="D568" s="1" t="s">
        <v>899</v>
      </c>
      <c r="E568" s="1" t="s">
        <v>896</v>
      </c>
      <c r="F568" s="1">
        <v>250</v>
      </c>
      <c r="G568" s="1" t="s">
        <v>3</v>
      </c>
      <c r="H568" s="4">
        <v>4</v>
      </c>
      <c r="I568" s="5">
        <f t="shared" ca="1" si="0"/>
        <v>0.8635164462668764</v>
      </c>
      <c r="J568">
        <f ca="1">Table_3[[#This Row],[Price of One Product]]*Table_3[[#This Row],[No of Products in one Sale]]*(1-Table_3[[#This Row],[Discount]])</f>
        <v>136.48355373312359</v>
      </c>
      <c r="O568">
        <v>398.78689352768572</v>
      </c>
      <c r="P568">
        <v>0.17694971123213776</v>
      </c>
    </row>
    <row r="569" spans="1:16" ht="14.25" customHeight="1">
      <c r="A569" s="1" t="s">
        <v>654</v>
      </c>
      <c r="B569" s="1" t="s">
        <v>886</v>
      </c>
      <c r="C569" s="3">
        <v>44801</v>
      </c>
      <c r="D569" s="1" t="s">
        <v>900</v>
      </c>
      <c r="E569" s="1" t="s">
        <v>896</v>
      </c>
      <c r="F569" s="1">
        <v>130</v>
      </c>
      <c r="G569" s="1" t="s">
        <v>1</v>
      </c>
      <c r="H569" s="4">
        <v>4</v>
      </c>
      <c r="I569" s="5">
        <f t="shared" ca="1" si="0"/>
        <v>0.17445277814910387</v>
      </c>
      <c r="J569">
        <f ca="1">Table_3[[#This Row],[Price of One Product]]*Table_3[[#This Row],[No of Products in one Sale]]*(1-Table_3[[#This Row],[Discount]])</f>
        <v>429.28455536246599</v>
      </c>
      <c r="O569">
        <v>376.608913974183</v>
      </c>
      <c r="P569">
        <v>0.53817004918791311</v>
      </c>
    </row>
    <row r="570" spans="1:16" ht="14.25" customHeight="1">
      <c r="A570" s="1" t="s">
        <v>655</v>
      </c>
      <c r="B570" s="1" t="s">
        <v>883</v>
      </c>
      <c r="C570" s="3">
        <v>44769</v>
      </c>
      <c r="D570" s="1" t="s">
        <v>895</v>
      </c>
      <c r="E570" s="1" t="s">
        <v>896</v>
      </c>
      <c r="F570" s="1">
        <v>72</v>
      </c>
      <c r="G570" s="1" t="s">
        <v>2</v>
      </c>
      <c r="H570" s="4">
        <v>9</v>
      </c>
      <c r="I570" s="5">
        <f t="shared" ca="1" si="0"/>
        <v>0.28087462238000438</v>
      </c>
      <c r="J570">
        <f ca="1">Table_3[[#This Row],[Price of One Product]]*Table_3[[#This Row],[No of Products in one Sale]]*(1-Table_3[[#This Row],[Discount]])</f>
        <v>465.99324469775718</v>
      </c>
      <c r="O570">
        <v>83.901575018446366</v>
      </c>
      <c r="P570">
        <v>0.26054187846964849</v>
      </c>
    </row>
    <row r="571" spans="1:16" ht="14.25" customHeight="1">
      <c r="A571" s="1" t="s">
        <v>656</v>
      </c>
      <c r="B571" s="1" t="s">
        <v>884</v>
      </c>
      <c r="C571" s="3">
        <v>44757</v>
      </c>
      <c r="D571" s="1" t="s">
        <v>897</v>
      </c>
      <c r="E571" s="1" t="s">
        <v>896</v>
      </c>
      <c r="F571" s="1">
        <v>65</v>
      </c>
      <c r="G571" s="1" t="s">
        <v>3</v>
      </c>
      <c r="H571" s="4">
        <v>8</v>
      </c>
      <c r="I571" s="5">
        <f t="shared" ca="1" si="0"/>
        <v>0.58363253736821374</v>
      </c>
      <c r="J571">
        <f ca="1">Table_3[[#This Row],[Price of One Product]]*Table_3[[#This Row],[No of Products in one Sale]]*(1-Table_3[[#This Row],[Discount]])</f>
        <v>216.51108056852885</v>
      </c>
      <c r="O571">
        <v>173.39449172280376</v>
      </c>
      <c r="P571">
        <v>0.74603278732916878</v>
      </c>
    </row>
    <row r="572" spans="1:16" ht="14.25" customHeight="1">
      <c r="A572" s="1" t="s">
        <v>657</v>
      </c>
      <c r="B572" s="1" t="s">
        <v>885</v>
      </c>
      <c r="C572" s="3">
        <v>44759</v>
      </c>
      <c r="D572" s="1" t="s">
        <v>899</v>
      </c>
      <c r="E572" s="1" t="s">
        <v>896</v>
      </c>
      <c r="F572" s="1">
        <v>250</v>
      </c>
      <c r="G572" s="1" t="s">
        <v>1</v>
      </c>
      <c r="H572" s="4">
        <v>1</v>
      </c>
      <c r="I572" s="5">
        <f t="shared" ca="1" si="0"/>
        <v>0.63737788598861589</v>
      </c>
      <c r="J572">
        <f ca="1">Table_3[[#This Row],[Price of One Product]]*Table_3[[#This Row],[No of Products in one Sale]]*(1-Table_3[[#This Row],[Discount]])</f>
        <v>90.655528502846025</v>
      </c>
      <c r="O572">
        <v>23.235933101778265</v>
      </c>
      <c r="P572">
        <v>0.48214766744754733</v>
      </c>
    </row>
    <row r="573" spans="1:16" ht="14.25" customHeight="1">
      <c r="A573" s="1" t="s">
        <v>658</v>
      </c>
      <c r="B573" s="1" t="s">
        <v>886</v>
      </c>
      <c r="C573" s="3">
        <v>44805</v>
      </c>
      <c r="D573" s="1" t="s">
        <v>900</v>
      </c>
      <c r="E573" s="1" t="s">
        <v>896</v>
      </c>
      <c r="F573" s="1">
        <v>130</v>
      </c>
      <c r="G573" s="1" t="s">
        <v>2</v>
      </c>
      <c r="H573" s="4">
        <v>3</v>
      </c>
      <c r="I573" s="5">
        <f t="shared" ca="1" si="0"/>
        <v>0.61979462355678616</v>
      </c>
      <c r="J573">
        <f ca="1">Table_3[[#This Row],[Price of One Product]]*Table_3[[#This Row],[No of Products in one Sale]]*(1-Table_3[[#This Row],[Discount]])</f>
        <v>148.2800968128534</v>
      </c>
      <c r="O573">
        <v>246.22767680886324</v>
      </c>
      <c r="P573">
        <v>0.20786096230753592</v>
      </c>
    </row>
    <row r="574" spans="1:16" ht="14.25" customHeight="1">
      <c r="A574" s="1" t="s">
        <v>659</v>
      </c>
      <c r="B574" s="1" t="s">
        <v>887</v>
      </c>
      <c r="C574" s="3">
        <v>44760</v>
      </c>
      <c r="D574" s="1" t="s">
        <v>901</v>
      </c>
      <c r="E574" s="1" t="s">
        <v>896</v>
      </c>
      <c r="F574" s="1">
        <v>60</v>
      </c>
      <c r="G574" s="1" t="s">
        <v>3</v>
      </c>
      <c r="H574" s="4">
        <v>13</v>
      </c>
      <c r="I574" s="5">
        <f t="shared" ca="1" si="0"/>
        <v>8.0047994409321199E-2</v>
      </c>
      <c r="J574">
        <f ca="1">Table_3[[#This Row],[Price of One Product]]*Table_3[[#This Row],[No of Products in one Sale]]*(1-Table_3[[#This Row],[Discount]])</f>
        <v>717.56256436072943</v>
      </c>
      <c r="O574">
        <v>451.29662846652496</v>
      </c>
      <c r="P574">
        <v>0.52828570327943569</v>
      </c>
    </row>
    <row r="575" spans="1:16" ht="14.25" customHeight="1">
      <c r="A575" s="1" t="s">
        <v>660</v>
      </c>
      <c r="B575" s="1" t="s">
        <v>883</v>
      </c>
      <c r="C575" s="3">
        <v>44791</v>
      </c>
      <c r="D575" s="1" t="s">
        <v>895</v>
      </c>
      <c r="E575" s="1" t="s">
        <v>896</v>
      </c>
      <c r="F575" s="1">
        <v>72</v>
      </c>
      <c r="G575" s="1" t="s">
        <v>1</v>
      </c>
      <c r="H575" s="4">
        <v>4</v>
      </c>
      <c r="I575" s="5">
        <f t="shared" ca="1" si="0"/>
        <v>0.77212856195986979</v>
      </c>
      <c r="J575">
        <f ca="1">Table_3[[#This Row],[Price of One Product]]*Table_3[[#This Row],[No of Products in one Sale]]*(1-Table_3[[#This Row],[Discount]])</f>
        <v>65.626974155557505</v>
      </c>
      <c r="O575">
        <v>59.533484677473361</v>
      </c>
      <c r="P575">
        <v>0.834876679761267</v>
      </c>
    </row>
    <row r="576" spans="1:16" ht="14.25" customHeight="1">
      <c r="A576" s="1" t="s">
        <v>661</v>
      </c>
      <c r="B576" s="1" t="s">
        <v>884</v>
      </c>
      <c r="C576" s="3">
        <v>44768</v>
      </c>
      <c r="D576" s="1" t="s">
        <v>897</v>
      </c>
      <c r="E576" s="1" t="s">
        <v>896</v>
      </c>
      <c r="F576" s="1">
        <v>65</v>
      </c>
      <c r="G576" s="1" t="s">
        <v>2</v>
      </c>
      <c r="H576" s="4">
        <v>12</v>
      </c>
      <c r="I576" s="5">
        <f t="shared" ca="1" si="0"/>
        <v>0.89671959533194778</v>
      </c>
      <c r="J576">
        <f ca="1">Table_3[[#This Row],[Price of One Product]]*Table_3[[#This Row],[No of Products in one Sale]]*(1-Table_3[[#This Row],[Discount]])</f>
        <v>80.558715641080724</v>
      </c>
      <c r="O576">
        <v>471.78389077536229</v>
      </c>
      <c r="P576">
        <v>0.33012192873625879</v>
      </c>
    </row>
    <row r="577" spans="1:16" ht="14.25" customHeight="1">
      <c r="A577" s="1" t="s">
        <v>662</v>
      </c>
      <c r="B577" s="1" t="s">
        <v>885</v>
      </c>
      <c r="C577" s="3">
        <v>44759</v>
      </c>
      <c r="D577" s="1" t="s">
        <v>899</v>
      </c>
      <c r="E577" s="1" t="s">
        <v>898</v>
      </c>
      <c r="F577" s="1">
        <v>250</v>
      </c>
      <c r="G577" s="1" t="s">
        <v>3</v>
      </c>
      <c r="H577" s="4">
        <v>3</v>
      </c>
      <c r="I577" s="5">
        <f t="shared" ca="1" si="0"/>
        <v>0.63697623400204961</v>
      </c>
      <c r="J577">
        <f ca="1">Table_3[[#This Row],[Price of One Product]]*Table_3[[#This Row],[No of Products in one Sale]]*(1-Table_3[[#This Row],[Discount]])</f>
        <v>272.2678244984628</v>
      </c>
      <c r="O577">
        <v>524.83501217345292</v>
      </c>
      <c r="P577">
        <v>7.9226392896667219E-2</v>
      </c>
    </row>
    <row r="578" spans="1:16" ht="14.25" customHeight="1">
      <c r="A578" s="1" t="s">
        <v>663</v>
      </c>
      <c r="B578" s="1" t="s">
        <v>886</v>
      </c>
      <c r="C578" s="3">
        <v>44781</v>
      </c>
      <c r="D578" s="1" t="s">
        <v>900</v>
      </c>
      <c r="E578" s="1" t="s">
        <v>896</v>
      </c>
      <c r="F578" s="1">
        <v>130</v>
      </c>
      <c r="G578" s="1" t="s">
        <v>1</v>
      </c>
      <c r="H578" s="4">
        <v>6</v>
      </c>
      <c r="I578" s="5">
        <f t="shared" ca="1" si="0"/>
        <v>8.9570162671449016E-2</v>
      </c>
      <c r="J578">
        <f ca="1">Table_3[[#This Row],[Price of One Product]]*Table_3[[#This Row],[No of Products in one Sale]]*(1-Table_3[[#This Row],[Discount]])</f>
        <v>710.13527311626979</v>
      </c>
      <c r="O578">
        <v>223.77059291666217</v>
      </c>
      <c r="P578">
        <v>0.41908840293616667</v>
      </c>
    </row>
    <row r="579" spans="1:16" ht="14.25" customHeight="1">
      <c r="A579" s="1" t="s">
        <v>664</v>
      </c>
      <c r="B579" s="1" t="s">
        <v>883</v>
      </c>
      <c r="C579" s="3">
        <v>44785</v>
      </c>
      <c r="D579" s="1" t="s">
        <v>895</v>
      </c>
      <c r="E579" s="1" t="s">
        <v>896</v>
      </c>
      <c r="F579" s="1">
        <v>72</v>
      </c>
      <c r="G579" s="1" t="s">
        <v>2</v>
      </c>
      <c r="H579" s="4">
        <v>5</v>
      </c>
      <c r="I579" s="5">
        <f t="shared" ca="1" si="0"/>
        <v>0.60851789123281186</v>
      </c>
      <c r="J579">
        <f ca="1">Table_3[[#This Row],[Price of One Product]]*Table_3[[#This Row],[No of Products in one Sale]]*(1-Table_3[[#This Row],[Discount]])</f>
        <v>140.93355915618773</v>
      </c>
      <c r="O579">
        <v>245.73770009402611</v>
      </c>
      <c r="P579">
        <v>0.60450713252416499</v>
      </c>
    </row>
    <row r="580" spans="1:16" ht="14.25" customHeight="1">
      <c r="A580" s="1" t="s">
        <v>665</v>
      </c>
      <c r="B580" s="1" t="s">
        <v>884</v>
      </c>
      <c r="C580" s="3">
        <v>44775</v>
      </c>
      <c r="D580" s="1" t="s">
        <v>897</v>
      </c>
      <c r="E580" s="1" t="s">
        <v>896</v>
      </c>
      <c r="F580" s="1">
        <v>65</v>
      </c>
      <c r="G580" s="1" t="s">
        <v>3</v>
      </c>
      <c r="H580" s="4">
        <v>11</v>
      </c>
      <c r="I580" s="5">
        <f t="shared" ca="1" si="0"/>
        <v>0.56107544928174502</v>
      </c>
      <c r="J580">
        <f ca="1">Table_3[[#This Row],[Price of One Product]]*Table_3[[#This Row],[No of Products in one Sale]]*(1-Table_3[[#This Row],[Discount]])</f>
        <v>313.83105376355229</v>
      </c>
      <c r="O580">
        <v>320.66589208924938</v>
      </c>
      <c r="P580">
        <v>0.46617772714374472</v>
      </c>
    </row>
    <row r="581" spans="1:16" ht="14.25" customHeight="1">
      <c r="A581" s="1" t="s">
        <v>666</v>
      </c>
      <c r="B581" s="1" t="s">
        <v>885</v>
      </c>
      <c r="C581" s="3">
        <v>44773</v>
      </c>
      <c r="D581" s="1" t="s">
        <v>899</v>
      </c>
      <c r="E581" s="1" t="s">
        <v>896</v>
      </c>
      <c r="F581" s="1">
        <v>250</v>
      </c>
      <c r="G581" s="1" t="s">
        <v>1</v>
      </c>
      <c r="H581" s="4">
        <v>2</v>
      </c>
      <c r="I581" s="5">
        <f t="shared" ca="1" si="0"/>
        <v>0.53218263109552377</v>
      </c>
      <c r="J581">
        <f ca="1">Table_3[[#This Row],[Price of One Product]]*Table_3[[#This Row],[No of Products in one Sale]]*(1-Table_3[[#This Row],[Discount]])</f>
        <v>233.90868445223811</v>
      </c>
      <c r="O581">
        <v>234.56432792003596</v>
      </c>
      <c r="P581">
        <v>0.24889296671593719</v>
      </c>
    </row>
    <row r="582" spans="1:16" ht="14.25" customHeight="1">
      <c r="A582" s="1" t="s">
        <v>667</v>
      </c>
      <c r="B582" s="1" t="s">
        <v>886</v>
      </c>
      <c r="C582" s="3">
        <v>44796</v>
      </c>
      <c r="D582" s="1" t="s">
        <v>900</v>
      </c>
      <c r="E582" s="1" t="s">
        <v>896</v>
      </c>
      <c r="F582" s="1">
        <v>130</v>
      </c>
      <c r="G582" s="1" t="s">
        <v>2</v>
      </c>
      <c r="H582" s="4">
        <v>2</v>
      </c>
      <c r="I582" s="5">
        <f t="shared" ca="1" si="0"/>
        <v>0.29769292962106864</v>
      </c>
      <c r="J582">
        <f ca="1">Table_3[[#This Row],[Price of One Product]]*Table_3[[#This Row],[No of Products in one Sale]]*(1-Table_3[[#This Row],[Discount]])</f>
        <v>182.59983829852214</v>
      </c>
      <c r="O582">
        <v>89.641962074111959</v>
      </c>
      <c r="P582">
        <v>0.82457413450805261</v>
      </c>
    </row>
    <row r="583" spans="1:16" ht="14.25" customHeight="1">
      <c r="A583" s="1" t="s">
        <v>668</v>
      </c>
      <c r="B583" s="1" t="s">
        <v>887</v>
      </c>
      <c r="C583" s="3">
        <v>44801</v>
      </c>
      <c r="D583" s="1" t="s">
        <v>901</v>
      </c>
      <c r="E583" s="1" t="s">
        <v>898</v>
      </c>
      <c r="F583" s="1">
        <v>60</v>
      </c>
      <c r="G583" s="1" t="s">
        <v>3</v>
      </c>
      <c r="H583" s="4">
        <v>10</v>
      </c>
      <c r="I583" s="5">
        <f t="shared" ca="1" si="0"/>
        <v>2.9691204831271301E-2</v>
      </c>
      <c r="J583">
        <f ca="1">Table_3[[#This Row],[Price of One Product]]*Table_3[[#This Row],[No of Products in one Sale]]*(1-Table_3[[#This Row],[Discount]])</f>
        <v>582.18527710123726</v>
      </c>
      <c r="O583">
        <v>294.16373807564048</v>
      </c>
      <c r="P583">
        <v>0.47532888612349344</v>
      </c>
    </row>
    <row r="584" spans="1:16" ht="14.25" customHeight="1">
      <c r="A584" s="1" t="s">
        <v>669</v>
      </c>
      <c r="B584" s="1" t="s">
        <v>888</v>
      </c>
      <c r="C584" s="3">
        <v>44779</v>
      </c>
      <c r="D584" s="1" t="s">
        <v>902</v>
      </c>
      <c r="E584" s="1" t="s">
        <v>896</v>
      </c>
      <c r="F584" s="1">
        <v>95</v>
      </c>
      <c r="G584" s="1" t="s">
        <v>1</v>
      </c>
      <c r="H584" s="4">
        <v>6</v>
      </c>
      <c r="I584" s="5">
        <f t="shared" ca="1" si="0"/>
        <v>0.73222963920182293</v>
      </c>
      <c r="J584">
        <f ca="1">Table_3[[#This Row],[Price of One Product]]*Table_3[[#This Row],[No of Products in one Sale]]*(1-Table_3[[#This Row],[Discount]])</f>
        <v>152.62910565496094</v>
      </c>
      <c r="O584">
        <v>310.76962338748638</v>
      </c>
      <c r="P584">
        <v>3.2754667558515305E-2</v>
      </c>
    </row>
    <row r="585" spans="1:16" ht="14.25" customHeight="1">
      <c r="A585" s="1" t="s">
        <v>670</v>
      </c>
      <c r="B585" s="1" t="s">
        <v>883</v>
      </c>
      <c r="C585" s="3">
        <v>44772</v>
      </c>
      <c r="D585" s="1" t="s">
        <v>895</v>
      </c>
      <c r="E585" s="1" t="s">
        <v>896</v>
      </c>
      <c r="F585" s="1">
        <v>72</v>
      </c>
      <c r="G585" s="1" t="s">
        <v>2</v>
      </c>
      <c r="H585" s="4">
        <v>7</v>
      </c>
      <c r="I585" s="5">
        <f t="shared" ca="1" si="0"/>
        <v>0.85098899257554783</v>
      </c>
      <c r="J585">
        <f ca="1">Table_3[[#This Row],[Price of One Product]]*Table_3[[#This Row],[No of Products in one Sale]]*(1-Table_3[[#This Row],[Discount]])</f>
        <v>75.101547741923895</v>
      </c>
      <c r="O585">
        <v>368.80945152770465</v>
      </c>
      <c r="P585">
        <v>0.66620617931173343</v>
      </c>
    </row>
    <row r="586" spans="1:16" ht="14.25" customHeight="1">
      <c r="A586" s="1" t="s">
        <v>671</v>
      </c>
      <c r="B586" s="1" t="s">
        <v>884</v>
      </c>
      <c r="C586" s="3">
        <v>44757</v>
      </c>
      <c r="D586" s="1" t="s">
        <v>897</v>
      </c>
      <c r="E586" s="1" t="s">
        <v>896</v>
      </c>
      <c r="F586" s="1">
        <v>65</v>
      </c>
      <c r="G586" s="1" t="s">
        <v>3</v>
      </c>
      <c r="H586" s="4">
        <v>8</v>
      </c>
      <c r="I586" s="5">
        <f t="shared" ca="1" si="0"/>
        <v>0.49956170294163449</v>
      </c>
      <c r="J586">
        <f ca="1">Table_3[[#This Row],[Price of One Product]]*Table_3[[#This Row],[No of Products in one Sale]]*(1-Table_3[[#This Row],[Discount]])</f>
        <v>260.22791447035007</v>
      </c>
      <c r="O586">
        <v>229.03692183543205</v>
      </c>
      <c r="P586">
        <v>0.87031126181055918</v>
      </c>
    </row>
    <row r="587" spans="1:16" ht="14.25" customHeight="1">
      <c r="A587" s="1" t="s">
        <v>672</v>
      </c>
      <c r="B587" s="1" t="s">
        <v>885</v>
      </c>
      <c r="C587" s="3">
        <v>44808</v>
      </c>
      <c r="D587" s="1" t="s">
        <v>899</v>
      </c>
      <c r="E587" s="1" t="s">
        <v>898</v>
      </c>
      <c r="F587" s="1">
        <v>250</v>
      </c>
      <c r="G587" s="1" t="s">
        <v>1</v>
      </c>
      <c r="H587" s="4">
        <v>4</v>
      </c>
      <c r="I587" s="5">
        <f t="shared" ca="1" si="0"/>
        <v>0.32401821752651316</v>
      </c>
      <c r="J587">
        <f ca="1">Table_3[[#This Row],[Price of One Product]]*Table_3[[#This Row],[No of Products in one Sale]]*(1-Table_3[[#This Row],[Discount]])</f>
        <v>675.98178247348687</v>
      </c>
      <c r="O587">
        <v>958.78992845183939</v>
      </c>
      <c r="P587">
        <v>0.18018225803498544</v>
      </c>
    </row>
    <row r="588" spans="1:16" ht="14.25" customHeight="1">
      <c r="A588" s="1" t="s">
        <v>673</v>
      </c>
      <c r="B588" s="1" t="s">
        <v>886</v>
      </c>
      <c r="C588" s="3">
        <v>44782</v>
      </c>
      <c r="D588" s="1" t="s">
        <v>900</v>
      </c>
      <c r="E588" s="1" t="s">
        <v>898</v>
      </c>
      <c r="F588" s="1">
        <v>130</v>
      </c>
      <c r="G588" s="1" t="s">
        <v>2</v>
      </c>
      <c r="H588" s="4">
        <v>6</v>
      </c>
      <c r="I588" s="5">
        <f t="shared" ca="1" si="0"/>
        <v>0.26894816812023359</v>
      </c>
      <c r="J588">
        <f ca="1">Table_3[[#This Row],[Price of One Product]]*Table_3[[#This Row],[No of Products in one Sale]]*(1-Table_3[[#This Row],[Discount]])</f>
        <v>570.22042886621784</v>
      </c>
      <c r="O588">
        <v>603.35250800951326</v>
      </c>
      <c r="P588">
        <v>0.61664748928374635</v>
      </c>
    </row>
    <row r="589" spans="1:16" ht="14.25" customHeight="1">
      <c r="A589" s="1" t="s">
        <v>674</v>
      </c>
      <c r="B589" s="1" t="s">
        <v>883</v>
      </c>
      <c r="C589" s="3">
        <v>44787</v>
      </c>
      <c r="D589" s="1" t="s">
        <v>895</v>
      </c>
      <c r="E589" s="1" t="s">
        <v>898</v>
      </c>
      <c r="F589" s="1">
        <v>72</v>
      </c>
      <c r="G589" s="1" t="s">
        <v>3</v>
      </c>
      <c r="H589" s="4">
        <v>4</v>
      </c>
      <c r="I589" s="5">
        <f t="shared" ca="1" si="0"/>
        <v>8.1845610417133785E-2</v>
      </c>
      <c r="J589">
        <f ca="1">Table_3[[#This Row],[Price of One Product]]*Table_3[[#This Row],[No of Products in one Sale]]*(1-Table_3[[#This Row],[Discount]])</f>
        <v>264.42846419986546</v>
      </c>
      <c r="O589">
        <v>269.9462678875081</v>
      </c>
      <c r="P589">
        <v>0.2851480548853973</v>
      </c>
    </row>
    <row r="590" spans="1:16" ht="14.25" customHeight="1">
      <c r="A590" s="1" t="s">
        <v>675</v>
      </c>
      <c r="B590" s="1" t="s">
        <v>884</v>
      </c>
      <c r="C590" s="3">
        <v>44787</v>
      </c>
      <c r="D590" s="1" t="s">
        <v>897</v>
      </c>
      <c r="E590" s="1" t="s">
        <v>898</v>
      </c>
      <c r="F590" s="1">
        <v>65</v>
      </c>
      <c r="G590" s="1" t="s">
        <v>1</v>
      </c>
      <c r="H590" s="4">
        <v>9</v>
      </c>
      <c r="I590" s="5">
        <f t="shared" ca="1" si="0"/>
        <v>4.4132337969647217E-2</v>
      </c>
      <c r="J590">
        <f ca="1">Table_3[[#This Row],[Price of One Product]]*Table_3[[#This Row],[No of Products in one Sale]]*(1-Table_3[[#This Row],[Discount]])</f>
        <v>559.18258228775642</v>
      </c>
      <c r="O590">
        <v>166.56599680146707</v>
      </c>
      <c r="P590">
        <v>0.65252684944644601</v>
      </c>
    </row>
    <row r="591" spans="1:16" ht="14.25" customHeight="1">
      <c r="A591" s="1" t="s">
        <v>676</v>
      </c>
      <c r="B591" s="1" t="s">
        <v>885</v>
      </c>
      <c r="C591" s="3">
        <v>44757</v>
      </c>
      <c r="D591" s="1" t="s">
        <v>899</v>
      </c>
      <c r="E591" s="1" t="s">
        <v>898</v>
      </c>
      <c r="F591" s="1">
        <v>250</v>
      </c>
      <c r="G591" s="1" t="s">
        <v>2</v>
      </c>
      <c r="H591" s="4">
        <v>1</v>
      </c>
      <c r="I591" s="5">
        <f t="shared" ca="1" si="0"/>
        <v>0.57033847525947234</v>
      </c>
      <c r="J591">
        <f ca="1">Table_3[[#This Row],[Price of One Product]]*Table_3[[#This Row],[No of Products in one Sale]]*(1-Table_3[[#This Row],[Discount]])</f>
        <v>107.41538118513192</v>
      </c>
      <c r="O591">
        <v>105.8265607608204</v>
      </c>
      <c r="P591">
        <v>0.41479595545827064</v>
      </c>
    </row>
    <row r="592" spans="1:16" ht="14.25" customHeight="1">
      <c r="A592" s="1" t="s">
        <v>677</v>
      </c>
      <c r="B592" s="1" t="s">
        <v>886</v>
      </c>
      <c r="C592" s="3">
        <v>44761</v>
      </c>
      <c r="D592" s="1" t="s">
        <v>900</v>
      </c>
      <c r="E592" s="1" t="s">
        <v>898</v>
      </c>
      <c r="F592" s="1">
        <v>130</v>
      </c>
      <c r="G592" s="1" t="s">
        <v>3</v>
      </c>
      <c r="H592" s="4">
        <v>3</v>
      </c>
      <c r="I592" s="5">
        <f t="shared" ca="1" si="0"/>
        <v>0.82828695971872079</v>
      </c>
      <c r="J592">
        <f ca="1">Table_3[[#This Row],[Price of One Product]]*Table_3[[#This Row],[No of Products in one Sale]]*(1-Table_3[[#This Row],[Discount]])</f>
        <v>66.968085709698897</v>
      </c>
      <c r="O592">
        <v>252.47927615416256</v>
      </c>
      <c r="P592">
        <v>0.75394832536078993</v>
      </c>
    </row>
    <row r="593" spans="1:16" ht="14.25" customHeight="1">
      <c r="A593" s="1" t="s">
        <v>678</v>
      </c>
      <c r="B593" s="1" t="s">
        <v>883</v>
      </c>
      <c r="C593" s="3">
        <v>44788</v>
      </c>
      <c r="D593" s="1" t="s">
        <v>895</v>
      </c>
      <c r="E593" s="1" t="s">
        <v>896</v>
      </c>
      <c r="F593" s="1">
        <v>72</v>
      </c>
      <c r="G593" s="1" t="s">
        <v>3</v>
      </c>
      <c r="H593" s="4">
        <v>6</v>
      </c>
      <c r="I593" s="5">
        <f t="shared" ca="1" si="0"/>
        <v>0.52815842450534534</v>
      </c>
      <c r="J593">
        <f ca="1">Table_3[[#This Row],[Price of One Product]]*Table_3[[#This Row],[No of Products in one Sale]]*(1-Table_3[[#This Row],[Discount]])</f>
        <v>203.8355606136908</v>
      </c>
      <c r="O593">
        <v>148.08367359216601</v>
      </c>
      <c r="P593">
        <v>7.9721937240622265E-2</v>
      </c>
    </row>
    <row r="594" spans="1:16" ht="14.25" customHeight="1">
      <c r="A594" s="1" t="s">
        <v>679</v>
      </c>
      <c r="B594" s="1" t="s">
        <v>884</v>
      </c>
      <c r="C594" s="3">
        <v>44788</v>
      </c>
      <c r="D594" s="1" t="s">
        <v>897</v>
      </c>
      <c r="E594" s="1" t="s">
        <v>898</v>
      </c>
      <c r="F594" s="1">
        <v>65</v>
      </c>
      <c r="G594" s="1" t="s">
        <v>1</v>
      </c>
      <c r="H594" s="4">
        <v>13</v>
      </c>
      <c r="I594" s="5">
        <f t="shared" ca="1" si="0"/>
        <v>6.6565826649175319E-2</v>
      </c>
      <c r="J594">
        <f ca="1">Table_3[[#This Row],[Price of One Product]]*Table_3[[#This Row],[No of Products in one Sale]]*(1-Table_3[[#This Row],[Discount]])</f>
        <v>788.75187648144686</v>
      </c>
      <c r="O594">
        <v>531.3158484778719</v>
      </c>
      <c r="P594">
        <v>0.81434272847387978</v>
      </c>
    </row>
    <row r="595" spans="1:16" ht="14.25" customHeight="1">
      <c r="A595" s="1" t="s">
        <v>680</v>
      </c>
      <c r="B595" s="1" t="s">
        <v>885</v>
      </c>
      <c r="C595" s="3">
        <v>44758</v>
      </c>
      <c r="D595" s="1" t="s">
        <v>899</v>
      </c>
      <c r="E595" s="1" t="s">
        <v>896</v>
      </c>
      <c r="F595" s="1">
        <v>250</v>
      </c>
      <c r="G595" s="1" t="s">
        <v>2</v>
      </c>
      <c r="H595" s="4">
        <v>1</v>
      </c>
      <c r="I595" s="5">
        <f t="shared" ca="1" si="0"/>
        <v>0.17316239935660738</v>
      </c>
      <c r="J595">
        <f ca="1">Table_3[[#This Row],[Price of One Product]]*Table_3[[#This Row],[No of Products in one Sale]]*(1-Table_3[[#This Row],[Discount]])</f>
        <v>206.70940016084816</v>
      </c>
      <c r="O595">
        <v>19.360662817444585</v>
      </c>
      <c r="P595">
        <v>0.84586974858831432</v>
      </c>
    </row>
    <row r="596" spans="1:16" ht="14.25" customHeight="1">
      <c r="A596" s="1" t="s">
        <v>681</v>
      </c>
      <c r="B596" s="1" t="s">
        <v>886</v>
      </c>
      <c r="C596" s="3">
        <v>44795</v>
      </c>
      <c r="D596" s="1" t="s">
        <v>900</v>
      </c>
      <c r="E596" s="1" t="s">
        <v>898</v>
      </c>
      <c r="F596" s="1">
        <v>130</v>
      </c>
      <c r="G596" s="1" t="s">
        <v>3</v>
      </c>
      <c r="H596" s="4">
        <v>3</v>
      </c>
      <c r="I596" s="5">
        <f t="shared" ca="1" si="0"/>
        <v>0.85337522480545525</v>
      </c>
      <c r="J596">
        <f ca="1">Table_3[[#This Row],[Price of One Product]]*Table_3[[#This Row],[No of Products in one Sale]]*(1-Table_3[[#This Row],[Discount]])</f>
        <v>57.183662325872454</v>
      </c>
      <c r="O596">
        <v>59.898133550156793</v>
      </c>
      <c r="P596">
        <v>0.76480084361922407</v>
      </c>
    </row>
    <row r="597" spans="1:16" ht="14.25" customHeight="1">
      <c r="A597" s="1" t="s">
        <v>682</v>
      </c>
      <c r="B597" s="1" t="s">
        <v>883</v>
      </c>
      <c r="C597" s="3">
        <v>44791</v>
      </c>
      <c r="D597" s="1" t="s">
        <v>895</v>
      </c>
      <c r="E597" s="1" t="s">
        <v>896</v>
      </c>
      <c r="F597" s="1">
        <v>72</v>
      </c>
      <c r="G597" s="1" t="s">
        <v>1</v>
      </c>
      <c r="H597" s="4">
        <v>6</v>
      </c>
      <c r="I597" s="5">
        <f t="shared" ca="1" si="0"/>
        <v>4.7181395047026453E-2</v>
      </c>
      <c r="J597">
        <f ca="1">Table_3[[#This Row],[Price of One Product]]*Table_3[[#This Row],[No of Products in one Sale]]*(1-Table_3[[#This Row],[Discount]])</f>
        <v>411.61763733968456</v>
      </c>
      <c r="O597">
        <v>199.25322514670449</v>
      </c>
      <c r="P597">
        <v>0.2230051753776271</v>
      </c>
    </row>
    <row r="598" spans="1:16" ht="14.25" customHeight="1">
      <c r="A598" s="1" t="s">
        <v>683</v>
      </c>
      <c r="B598" s="1" t="s">
        <v>884</v>
      </c>
      <c r="C598" s="3">
        <v>44791</v>
      </c>
      <c r="D598" s="1" t="s">
        <v>897</v>
      </c>
      <c r="E598" s="1" t="s">
        <v>898</v>
      </c>
      <c r="F598" s="1">
        <v>65</v>
      </c>
      <c r="G598" s="1" t="s">
        <v>2</v>
      </c>
      <c r="H598" s="4">
        <v>12</v>
      </c>
      <c r="I598" s="5">
        <f t="shared" ca="1" si="0"/>
        <v>0.65805807005184302</v>
      </c>
      <c r="J598">
        <f ca="1">Table_3[[#This Row],[Price of One Product]]*Table_3[[#This Row],[No of Products in one Sale]]*(1-Table_3[[#This Row],[Discount]])</f>
        <v>266.71470535956246</v>
      </c>
      <c r="O598">
        <v>475.06282973934361</v>
      </c>
      <c r="P598">
        <v>0.72663539823487711</v>
      </c>
    </row>
    <row r="599" spans="1:16" ht="14.25" customHeight="1">
      <c r="A599" s="1" t="s">
        <v>684</v>
      </c>
      <c r="B599" s="1" t="s">
        <v>885</v>
      </c>
      <c r="C599" s="3">
        <v>44794</v>
      </c>
      <c r="D599" s="1" t="s">
        <v>899</v>
      </c>
      <c r="E599" s="1" t="s">
        <v>896</v>
      </c>
      <c r="F599" s="1">
        <v>250</v>
      </c>
      <c r="G599" s="1" t="s">
        <v>3</v>
      </c>
      <c r="H599" s="4">
        <v>3</v>
      </c>
      <c r="I599" s="5">
        <f t="shared" ca="1" si="0"/>
        <v>0.83268032927547864</v>
      </c>
      <c r="J599">
        <f ca="1">Table_3[[#This Row],[Price of One Product]]*Table_3[[#This Row],[No of Products in one Sale]]*(1-Table_3[[#This Row],[Discount]])</f>
        <v>125.48975304339102</v>
      </c>
      <c r="O599">
        <v>286.44523086893969</v>
      </c>
      <c r="P599">
        <v>0.717706023198315</v>
      </c>
    </row>
    <row r="600" spans="1:16" ht="14.25" customHeight="1">
      <c r="A600" s="1" t="s">
        <v>685</v>
      </c>
      <c r="B600" s="1" t="s">
        <v>886</v>
      </c>
      <c r="C600" s="3">
        <v>44756</v>
      </c>
      <c r="D600" s="1" t="s">
        <v>900</v>
      </c>
      <c r="E600" s="1" t="s">
        <v>898</v>
      </c>
      <c r="F600" s="1">
        <v>130</v>
      </c>
      <c r="G600" s="1" t="s">
        <v>1</v>
      </c>
      <c r="H600" s="4">
        <v>4</v>
      </c>
      <c r="I600" s="5">
        <f t="shared" ca="1" si="0"/>
        <v>0.35489584479963632</v>
      </c>
      <c r="J600">
        <f ca="1">Table_3[[#This Row],[Price of One Product]]*Table_3[[#This Row],[No of Products in one Sale]]*(1-Table_3[[#This Row],[Discount]])</f>
        <v>335.45416070418912</v>
      </c>
      <c r="O600">
        <v>408.64122171586132</v>
      </c>
      <c r="P600">
        <v>0.62323360057154442</v>
      </c>
    </row>
    <row r="601" spans="1:16" ht="14.25" customHeight="1">
      <c r="A601" s="1" t="s">
        <v>686</v>
      </c>
      <c r="B601" s="1" t="s">
        <v>887</v>
      </c>
      <c r="C601" s="3">
        <v>44789</v>
      </c>
      <c r="D601" s="1" t="s">
        <v>901</v>
      </c>
      <c r="E601" s="1" t="s">
        <v>896</v>
      </c>
      <c r="F601" s="1">
        <v>60</v>
      </c>
      <c r="G601" s="1" t="s">
        <v>2</v>
      </c>
      <c r="H601" s="4">
        <v>11</v>
      </c>
      <c r="I601" s="5">
        <f t="shared" ca="1" si="0"/>
        <v>0.66935159974103642</v>
      </c>
      <c r="J601">
        <f ca="1">Table_3[[#This Row],[Price of One Product]]*Table_3[[#This Row],[No of Products in one Sale]]*(1-Table_3[[#This Row],[Discount]])</f>
        <v>218.22794417091598</v>
      </c>
      <c r="O601">
        <v>573.44764554419112</v>
      </c>
      <c r="P601">
        <v>0.69668449598451865</v>
      </c>
    </row>
    <row r="602" spans="1:16" ht="14.25" customHeight="1">
      <c r="A602" s="1" t="s">
        <v>687</v>
      </c>
      <c r="B602" s="1" t="s">
        <v>883</v>
      </c>
      <c r="C602" s="3">
        <v>44810</v>
      </c>
      <c r="D602" s="1" t="s">
        <v>895</v>
      </c>
      <c r="E602" s="1" t="s">
        <v>898</v>
      </c>
      <c r="F602" s="1">
        <v>72</v>
      </c>
      <c r="G602" s="1" t="s">
        <v>3</v>
      </c>
      <c r="H602" s="4">
        <v>3</v>
      </c>
      <c r="I602" s="5">
        <f t="shared" ca="1" si="0"/>
        <v>0.72757499436596407</v>
      </c>
      <c r="J602">
        <f ca="1">Table_3[[#This Row],[Price of One Product]]*Table_3[[#This Row],[No of Products in one Sale]]*(1-Table_3[[#This Row],[Discount]])</f>
        <v>58.843801216951761</v>
      </c>
      <c r="O602">
        <v>213.79595887657663</v>
      </c>
      <c r="P602">
        <v>0.30218698823200785</v>
      </c>
    </row>
    <row r="603" spans="1:16" ht="14.25" customHeight="1">
      <c r="A603" s="1" t="s">
        <v>688</v>
      </c>
      <c r="B603" s="1" t="s">
        <v>884</v>
      </c>
      <c r="C603" s="3">
        <v>44798</v>
      </c>
      <c r="D603" s="1" t="s">
        <v>897</v>
      </c>
      <c r="E603" s="1" t="s">
        <v>896</v>
      </c>
      <c r="F603" s="1">
        <v>65</v>
      </c>
      <c r="G603" s="1" t="s">
        <v>1</v>
      </c>
      <c r="H603" s="4">
        <v>8</v>
      </c>
      <c r="I603" s="5">
        <f t="shared" ca="1" si="0"/>
        <v>0.34564714946901787</v>
      </c>
      <c r="J603">
        <f ca="1">Table_3[[#This Row],[Price of One Product]]*Table_3[[#This Row],[No of Products in one Sale]]*(1-Table_3[[#This Row],[Discount]])</f>
        <v>340.26348227611072</v>
      </c>
      <c r="O603">
        <v>499.86026955970652</v>
      </c>
      <c r="P603">
        <v>0.37214497575745453</v>
      </c>
    </row>
    <row r="604" spans="1:16" ht="14.25" customHeight="1">
      <c r="A604" s="1" t="s">
        <v>689</v>
      </c>
      <c r="B604" s="1" t="s">
        <v>885</v>
      </c>
      <c r="C604" s="3">
        <v>44791</v>
      </c>
      <c r="D604" s="1" t="s">
        <v>899</v>
      </c>
      <c r="E604" s="1" t="s">
        <v>898</v>
      </c>
      <c r="F604" s="1">
        <v>250</v>
      </c>
      <c r="G604" s="1" t="s">
        <v>2</v>
      </c>
      <c r="H604" s="4">
        <v>3</v>
      </c>
      <c r="I604" s="5">
        <f t="shared" ca="1" si="0"/>
        <v>0.16842401224913683</v>
      </c>
      <c r="J604">
        <f ca="1">Table_3[[#This Row],[Price of One Product]]*Table_3[[#This Row],[No of Products in one Sale]]*(1-Table_3[[#This Row],[Discount]])</f>
        <v>623.68199081314742</v>
      </c>
      <c r="O604">
        <v>240.21004161578151</v>
      </c>
      <c r="P604">
        <v>0.46781664323371641</v>
      </c>
    </row>
    <row r="605" spans="1:16" ht="14.25" customHeight="1">
      <c r="A605" s="1" t="s">
        <v>690</v>
      </c>
      <c r="B605" s="1" t="s">
        <v>886</v>
      </c>
      <c r="C605" s="3">
        <v>44796</v>
      </c>
      <c r="D605" s="1" t="s">
        <v>900</v>
      </c>
      <c r="E605" s="1" t="s">
        <v>896</v>
      </c>
      <c r="F605" s="1">
        <v>130</v>
      </c>
      <c r="G605" s="1" t="s">
        <v>3</v>
      </c>
      <c r="H605" s="4">
        <v>2</v>
      </c>
      <c r="I605" s="5">
        <f t="shared" ca="1" si="0"/>
        <v>0.61922755532467011</v>
      </c>
      <c r="J605">
        <f ca="1">Table_3[[#This Row],[Price of One Product]]*Table_3[[#This Row],[No of Products in one Sale]]*(1-Table_3[[#This Row],[Discount]])</f>
        <v>99.000835615585771</v>
      </c>
      <c r="O605">
        <v>26.26319268915789</v>
      </c>
      <c r="P605">
        <v>0.74165828410718404</v>
      </c>
    </row>
    <row r="606" spans="1:16" ht="14.25" customHeight="1">
      <c r="A606" s="1" t="s">
        <v>691</v>
      </c>
      <c r="B606" s="1" t="s">
        <v>883</v>
      </c>
      <c r="C606" s="3">
        <v>44810</v>
      </c>
      <c r="D606" s="1" t="s">
        <v>895</v>
      </c>
      <c r="E606" s="1" t="s">
        <v>898</v>
      </c>
      <c r="F606" s="1">
        <v>72</v>
      </c>
      <c r="G606" s="1" t="s">
        <v>1</v>
      </c>
      <c r="H606" s="4">
        <v>12</v>
      </c>
      <c r="I606" s="5">
        <f t="shared" ca="1" si="0"/>
        <v>0.18156511267821895</v>
      </c>
      <c r="J606">
        <f ca="1">Table_3[[#This Row],[Price of One Product]]*Table_3[[#This Row],[No of Products in one Sale]]*(1-Table_3[[#This Row],[Discount]])</f>
        <v>707.12774264601887</v>
      </c>
      <c r="O606">
        <v>226.20263760426127</v>
      </c>
      <c r="P606">
        <v>0.30278394192667279</v>
      </c>
    </row>
    <row r="607" spans="1:16" ht="14.25" customHeight="1">
      <c r="A607" s="1" t="s">
        <v>692</v>
      </c>
      <c r="B607" s="1" t="s">
        <v>884</v>
      </c>
      <c r="C607" s="3">
        <v>44791</v>
      </c>
      <c r="D607" s="1" t="s">
        <v>897</v>
      </c>
      <c r="E607" s="1" t="s">
        <v>896</v>
      </c>
      <c r="F607" s="1">
        <v>65</v>
      </c>
      <c r="G607" s="1" t="s">
        <v>2</v>
      </c>
      <c r="H607" s="4">
        <v>13</v>
      </c>
      <c r="I607" s="5">
        <f t="shared" ca="1" si="0"/>
        <v>0.31481741819170306</v>
      </c>
      <c r="J607">
        <f ca="1">Table_3[[#This Row],[Price of One Product]]*Table_3[[#This Row],[No of Products in one Sale]]*(1-Table_3[[#This Row],[Discount]])</f>
        <v>578.97928162801088</v>
      </c>
      <c r="O607">
        <v>348.33178829264693</v>
      </c>
      <c r="P607">
        <v>0.15527209538831155</v>
      </c>
    </row>
    <row r="608" spans="1:16" ht="14.25" customHeight="1">
      <c r="A608" s="1" t="s">
        <v>693</v>
      </c>
      <c r="B608" s="1" t="s">
        <v>885</v>
      </c>
      <c r="C608" s="3">
        <v>44797</v>
      </c>
      <c r="D608" s="1" t="s">
        <v>899</v>
      </c>
      <c r="E608" s="1" t="s">
        <v>898</v>
      </c>
      <c r="F608" s="1">
        <v>250</v>
      </c>
      <c r="G608" s="1" t="s">
        <v>3</v>
      </c>
      <c r="H608" s="4">
        <v>2</v>
      </c>
      <c r="I608" s="5">
        <f t="shared" ca="1" si="0"/>
        <v>0.76887904674059715</v>
      </c>
      <c r="J608">
        <f ca="1">Table_3[[#This Row],[Price of One Product]]*Table_3[[#This Row],[No of Products in one Sale]]*(1-Table_3[[#This Row],[Discount]])</f>
        <v>115.56047662970143</v>
      </c>
      <c r="O608">
        <v>150.19041382838972</v>
      </c>
      <c r="P608">
        <v>0.55757365221916977</v>
      </c>
    </row>
    <row r="609" spans="1:16" ht="14.25" customHeight="1">
      <c r="A609" s="1" t="s">
        <v>694</v>
      </c>
      <c r="B609" s="1" t="s">
        <v>886</v>
      </c>
      <c r="C609" s="3">
        <v>44777</v>
      </c>
      <c r="D609" s="1" t="s">
        <v>900</v>
      </c>
      <c r="E609" s="1" t="s">
        <v>896</v>
      </c>
      <c r="F609" s="1">
        <v>130</v>
      </c>
      <c r="G609" s="1" t="s">
        <v>1</v>
      </c>
      <c r="H609" s="4">
        <v>4</v>
      </c>
      <c r="I609" s="5">
        <f t="shared" ca="1" si="0"/>
        <v>0.10378968550772749</v>
      </c>
      <c r="J609">
        <f ca="1">Table_3[[#This Row],[Price of One Product]]*Table_3[[#This Row],[No of Products in one Sale]]*(1-Table_3[[#This Row],[Discount]])</f>
        <v>466.0293635359817</v>
      </c>
      <c r="O609">
        <v>318.63619684733811</v>
      </c>
      <c r="P609">
        <v>0.16331288389756282</v>
      </c>
    </row>
    <row r="610" spans="1:16" ht="14.25" customHeight="1">
      <c r="A610" s="1" t="s">
        <v>695</v>
      </c>
      <c r="B610" s="1" t="s">
        <v>887</v>
      </c>
      <c r="C610" s="3">
        <v>44802</v>
      </c>
      <c r="D610" s="1" t="s">
        <v>901</v>
      </c>
      <c r="E610" s="1" t="s">
        <v>896</v>
      </c>
      <c r="F610" s="1">
        <v>60</v>
      </c>
      <c r="G610" s="1" t="s">
        <v>2</v>
      </c>
      <c r="H610" s="4">
        <v>4</v>
      </c>
      <c r="I610" s="5">
        <f t="shared" ca="1" si="0"/>
        <v>0.71281932511441171</v>
      </c>
      <c r="J610">
        <f ca="1">Table_3[[#This Row],[Price of One Product]]*Table_3[[#This Row],[No of Products in one Sale]]*(1-Table_3[[#This Row],[Discount]])</f>
        <v>68.923361972541187</v>
      </c>
      <c r="O610">
        <v>216.11651114116557</v>
      </c>
      <c r="P610">
        <v>0.58072913855181085</v>
      </c>
    </row>
    <row r="611" spans="1:16" ht="14.25" customHeight="1">
      <c r="A611" s="1" t="s">
        <v>696</v>
      </c>
      <c r="B611" s="1" t="s">
        <v>888</v>
      </c>
      <c r="C611" s="3">
        <v>44758</v>
      </c>
      <c r="D611" s="1" t="s">
        <v>902</v>
      </c>
      <c r="E611" s="1" t="s">
        <v>898</v>
      </c>
      <c r="F611" s="1">
        <v>95</v>
      </c>
      <c r="G611" s="1" t="s">
        <v>3</v>
      </c>
      <c r="H611" s="4">
        <v>8</v>
      </c>
      <c r="I611" s="5">
        <f t="shared" ca="1" si="0"/>
        <v>0.76952053840415646</v>
      </c>
      <c r="J611">
        <f ca="1">Table_3[[#This Row],[Price of One Product]]*Table_3[[#This Row],[No of Products in one Sale]]*(1-Table_3[[#This Row],[Discount]])</f>
        <v>175.16439081284108</v>
      </c>
      <c r="O611">
        <v>159.96192178182841</v>
      </c>
      <c r="P611">
        <v>0.40118329753503124</v>
      </c>
    </row>
    <row r="612" spans="1:16" ht="14.25" customHeight="1">
      <c r="A612" s="1" t="s">
        <v>697</v>
      </c>
      <c r="B612" s="1" t="s">
        <v>883</v>
      </c>
      <c r="C612" s="3">
        <v>44768</v>
      </c>
      <c r="D612" s="1" t="s">
        <v>895</v>
      </c>
      <c r="E612" s="1" t="s">
        <v>898</v>
      </c>
      <c r="F612" s="1">
        <v>72</v>
      </c>
      <c r="G612" s="1" t="s">
        <v>1</v>
      </c>
      <c r="H612" s="4">
        <v>10</v>
      </c>
      <c r="I612" s="5">
        <f t="shared" ca="1" si="0"/>
        <v>9.5896199262722526E-2</v>
      </c>
      <c r="J612">
        <f ca="1">Table_3[[#This Row],[Price of One Product]]*Table_3[[#This Row],[No of Products in one Sale]]*(1-Table_3[[#This Row],[Discount]])</f>
        <v>650.9547365308398</v>
      </c>
      <c r="O612">
        <v>387.90432492301568</v>
      </c>
      <c r="P612">
        <v>0.11184228099595461</v>
      </c>
    </row>
    <row r="613" spans="1:16" ht="14.25" customHeight="1">
      <c r="A613" s="1" t="s">
        <v>698</v>
      </c>
      <c r="B613" s="1" t="s">
        <v>884</v>
      </c>
      <c r="C613" s="3">
        <v>44756</v>
      </c>
      <c r="D613" s="1" t="s">
        <v>897</v>
      </c>
      <c r="E613" s="1" t="s">
        <v>898</v>
      </c>
      <c r="F613" s="1">
        <v>65</v>
      </c>
      <c r="G613" s="1" t="s">
        <v>2</v>
      </c>
      <c r="H613" s="4">
        <v>7</v>
      </c>
      <c r="I613" s="5">
        <f t="shared" ca="1" si="0"/>
        <v>6.9496291303069224E-2</v>
      </c>
      <c r="J613">
        <f ca="1">Table_3[[#This Row],[Price of One Product]]*Table_3[[#This Row],[No of Products in one Sale]]*(1-Table_3[[#This Row],[Discount]])</f>
        <v>423.37918745710351</v>
      </c>
      <c r="O613">
        <v>199.98722121966804</v>
      </c>
      <c r="P613">
        <v>0.17753552349196422</v>
      </c>
    </row>
    <row r="614" spans="1:16" ht="14.25" customHeight="1">
      <c r="A614" s="1" t="s">
        <v>699</v>
      </c>
      <c r="B614" s="1" t="s">
        <v>885</v>
      </c>
      <c r="C614" s="3">
        <v>44809</v>
      </c>
      <c r="D614" s="1" t="s">
        <v>899</v>
      </c>
      <c r="E614" s="1" t="s">
        <v>896</v>
      </c>
      <c r="F614" s="1">
        <v>250</v>
      </c>
      <c r="G614" s="1" t="s">
        <v>3</v>
      </c>
      <c r="H614" s="4">
        <v>3</v>
      </c>
      <c r="I614" s="5">
        <f t="shared" ca="1" si="0"/>
        <v>0.78907776776132166</v>
      </c>
      <c r="J614">
        <f ca="1">Table_3[[#This Row],[Price of One Product]]*Table_3[[#This Row],[No of Products in one Sale]]*(1-Table_3[[#This Row],[Discount]])</f>
        <v>158.19167417900874</v>
      </c>
      <c r="O614">
        <v>357.22238536406985</v>
      </c>
      <c r="P614">
        <v>0.74036839524600506</v>
      </c>
    </row>
    <row r="615" spans="1:16" ht="14.25" customHeight="1">
      <c r="A615" s="1" t="s">
        <v>700</v>
      </c>
      <c r="B615" s="1" t="s">
        <v>886</v>
      </c>
      <c r="C615" s="3">
        <v>44801</v>
      </c>
      <c r="D615" s="1" t="s">
        <v>900</v>
      </c>
      <c r="E615" s="1" t="s">
        <v>896</v>
      </c>
      <c r="F615" s="1">
        <v>130</v>
      </c>
      <c r="G615" s="1" t="s">
        <v>1</v>
      </c>
      <c r="H615" s="4">
        <v>6</v>
      </c>
      <c r="I615" s="5">
        <f t="shared" ca="1" si="0"/>
        <v>0.62868071074208287</v>
      </c>
      <c r="J615">
        <f ca="1">Table_3[[#This Row],[Price of One Product]]*Table_3[[#This Row],[No of Products in one Sale]]*(1-Table_3[[#This Row],[Discount]])</f>
        <v>289.62904562117535</v>
      </c>
      <c r="O615">
        <v>523.61579714272762</v>
      </c>
      <c r="P615">
        <v>0.68671312979724697</v>
      </c>
    </row>
    <row r="616" spans="1:16" ht="14.25" customHeight="1">
      <c r="A616" s="1" t="s">
        <v>701</v>
      </c>
      <c r="B616" s="1" t="s">
        <v>883</v>
      </c>
      <c r="C616" s="3">
        <v>44794</v>
      </c>
      <c r="D616" s="1" t="s">
        <v>895</v>
      </c>
      <c r="E616" s="1" t="s">
        <v>896</v>
      </c>
      <c r="F616" s="1">
        <v>72</v>
      </c>
      <c r="G616" s="1" t="s">
        <v>2</v>
      </c>
      <c r="H616" s="4">
        <v>7</v>
      </c>
      <c r="I616" s="5">
        <f t="shared" ca="1" si="0"/>
        <v>0.99312281375646727</v>
      </c>
      <c r="J616">
        <f ca="1">Table_3[[#This Row],[Price of One Product]]*Table_3[[#This Row],[No of Products in one Sale]]*(1-Table_3[[#This Row],[Discount]])</f>
        <v>3.4661018667404955</v>
      </c>
      <c r="O616">
        <v>207.1883047934501</v>
      </c>
      <c r="P616">
        <v>0.76844413251934607</v>
      </c>
    </row>
    <row r="617" spans="1:16" ht="14.25" customHeight="1">
      <c r="A617" s="1" t="s">
        <v>702</v>
      </c>
      <c r="B617" s="1" t="s">
        <v>884</v>
      </c>
      <c r="C617" s="3">
        <v>44792</v>
      </c>
      <c r="D617" s="1" t="s">
        <v>897</v>
      </c>
      <c r="E617" s="1" t="s">
        <v>896</v>
      </c>
      <c r="F617" s="1">
        <v>65</v>
      </c>
      <c r="G617" s="1" t="s">
        <v>3</v>
      </c>
      <c r="H617" s="4">
        <v>3</v>
      </c>
      <c r="I617" s="5">
        <f t="shared" ca="1" si="0"/>
        <v>0.10103671595434427</v>
      </c>
      <c r="J617">
        <f ca="1">Table_3[[#This Row],[Price of One Product]]*Table_3[[#This Row],[No of Products in one Sale]]*(1-Table_3[[#This Row],[Discount]])</f>
        <v>175.29784038890287</v>
      </c>
      <c r="O617">
        <v>61.997144293565881</v>
      </c>
      <c r="P617">
        <v>2.2150187128709309E-2</v>
      </c>
    </row>
    <row r="618" spans="1:16" ht="14.25" customHeight="1">
      <c r="A618" s="1" t="s">
        <v>703</v>
      </c>
      <c r="B618" s="1" t="s">
        <v>885</v>
      </c>
      <c r="C618" s="3">
        <v>44770</v>
      </c>
      <c r="D618" s="1" t="s">
        <v>899</v>
      </c>
      <c r="E618" s="1" t="s">
        <v>896</v>
      </c>
      <c r="F618" s="1">
        <v>250</v>
      </c>
      <c r="G618" s="1" t="s">
        <v>1</v>
      </c>
      <c r="H618" s="4">
        <v>1</v>
      </c>
      <c r="I618" s="5">
        <f t="shared" ca="1" si="0"/>
        <v>0.35416675320062996</v>
      </c>
      <c r="J618">
        <f ca="1">Table_3[[#This Row],[Price of One Product]]*Table_3[[#This Row],[No of Products in one Sale]]*(1-Table_3[[#This Row],[Discount]])</f>
        <v>161.45831169984251</v>
      </c>
      <c r="O618">
        <v>86.460537106021278</v>
      </c>
      <c r="P618">
        <v>0.24147113138826304</v>
      </c>
    </row>
    <row r="619" spans="1:16" ht="14.25" customHeight="1">
      <c r="A619" s="1" t="s">
        <v>704</v>
      </c>
      <c r="B619" s="1" t="s">
        <v>886</v>
      </c>
      <c r="C619" s="3">
        <v>44761</v>
      </c>
      <c r="D619" s="1" t="s">
        <v>900</v>
      </c>
      <c r="E619" s="1" t="s">
        <v>896</v>
      </c>
      <c r="F619" s="1">
        <v>130</v>
      </c>
      <c r="G619" s="1" t="s">
        <v>2</v>
      </c>
      <c r="H619" s="4">
        <v>5</v>
      </c>
      <c r="I619" s="5">
        <f t="shared" ca="1" si="0"/>
        <v>9.381856003186162E-2</v>
      </c>
      <c r="J619">
        <f ca="1">Table_3[[#This Row],[Price of One Product]]*Table_3[[#This Row],[No of Products in one Sale]]*(1-Table_3[[#This Row],[Discount]])</f>
        <v>589.01793597928997</v>
      </c>
      <c r="O619">
        <v>80.157301064059567</v>
      </c>
      <c r="P619">
        <v>0.13499741682882271</v>
      </c>
    </row>
    <row r="620" spans="1:16" ht="14.25" customHeight="1">
      <c r="A620" s="1" t="s">
        <v>705</v>
      </c>
      <c r="B620" s="1" t="s">
        <v>887</v>
      </c>
      <c r="C620" s="3">
        <v>44773</v>
      </c>
      <c r="D620" s="1" t="s">
        <v>901</v>
      </c>
      <c r="E620" s="1" t="s">
        <v>896</v>
      </c>
      <c r="F620" s="1">
        <v>60</v>
      </c>
      <c r="G620" s="1" t="s">
        <v>3</v>
      </c>
      <c r="H620" s="4">
        <v>7</v>
      </c>
      <c r="I620" s="5">
        <f t="shared" ca="1" si="0"/>
        <v>0.97666987474064515</v>
      </c>
      <c r="J620">
        <f ca="1">Table_3[[#This Row],[Price of One Product]]*Table_3[[#This Row],[No of Products in one Sale]]*(1-Table_3[[#This Row],[Discount]])</f>
        <v>9.7986526089290376</v>
      </c>
      <c r="O620">
        <v>349.79394955169988</v>
      </c>
      <c r="P620">
        <v>0.74862640009476211</v>
      </c>
    </row>
    <row r="621" spans="1:16" ht="14.25" customHeight="1">
      <c r="A621" s="1" t="s">
        <v>706</v>
      </c>
      <c r="B621" s="1" t="s">
        <v>883</v>
      </c>
      <c r="C621" s="3">
        <v>44766</v>
      </c>
      <c r="D621" s="1" t="s">
        <v>895</v>
      </c>
      <c r="E621" s="1" t="s">
        <v>896</v>
      </c>
      <c r="F621" s="1">
        <v>72</v>
      </c>
      <c r="G621" s="1" t="s">
        <v>1</v>
      </c>
      <c r="H621" s="4">
        <v>7</v>
      </c>
      <c r="I621" s="5">
        <f t="shared" ca="1" si="0"/>
        <v>0.41688510582013694</v>
      </c>
      <c r="J621">
        <f ca="1">Table_3[[#This Row],[Price of One Product]]*Table_3[[#This Row],[No of Products in one Sale]]*(1-Table_3[[#This Row],[Discount]])</f>
        <v>293.88990666665097</v>
      </c>
      <c r="O621">
        <v>113.17979886169998</v>
      </c>
      <c r="P621">
        <v>0.34587661852040907</v>
      </c>
    </row>
    <row r="622" spans="1:16" ht="14.25" customHeight="1">
      <c r="A622" s="1" t="s">
        <v>707</v>
      </c>
      <c r="B622" s="1" t="s">
        <v>884</v>
      </c>
      <c r="C622" s="3">
        <v>44793</v>
      </c>
      <c r="D622" s="1" t="s">
        <v>897</v>
      </c>
      <c r="E622" s="1" t="s">
        <v>896</v>
      </c>
      <c r="F622" s="1">
        <v>65</v>
      </c>
      <c r="G622" s="1" t="s">
        <v>2</v>
      </c>
      <c r="H622" s="4">
        <v>11</v>
      </c>
      <c r="I622" s="5">
        <f t="shared" ca="1" si="0"/>
        <v>7.7648503289863835E-2</v>
      </c>
      <c r="J622">
        <f ca="1">Table_3[[#This Row],[Price of One Product]]*Table_3[[#This Row],[No of Products in one Sale]]*(1-Table_3[[#This Row],[Discount]])</f>
        <v>659.4813201477474</v>
      </c>
      <c r="O622">
        <v>33.069456384320603</v>
      </c>
      <c r="P622">
        <v>0.58803452097140085</v>
      </c>
    </row>
    <row r="623" spans="1:16" ht="14.25" customHeight="1">
      <c r="A623" s="1" t="s">
        <v>708</v>
      </c>
      <c r="B623" s="1" t="s">
        <v>885</v>
      </c>
      <c r="C623" s="3">
        <v>44769</v>
      </c>
      <c r="D623" s="1" t="s">
        <v>899</v>
      </c>
      <c r="E623" s="1" t="s">
        <v>898</v>
      </c>
      <c r="F623" s="1">
        <v>250</v>
      </c>
      <c r="G623" s="1" t="s">
        <v>3</v>
      </c>
      <c r="H623" s="4">
        <v>1</v>
      </c>
      <c r="I623" s="5">
        <f t="shared" ca="1" si="0"/>
        <v>0.23622309938618213</v>
      </c>
      <c r="J623">
        <f ca="1">Table_3[[#This Row],[Price of One Product]]*Table_3[[#This Row],[No of Products in one Sale]]*(1-Table_3[[#This Row],[Discount]])</f>
        <v>190.94422515345445</v>
      </c>
      <c r="O623">
        <v>72.660308909739157</v>
      </c>
      <c r="P623">
        <v>0.28812838906233673</v>
      </c>
    </row>
    <row r="624" spans="1:16" ht="14.25" customHeight="1">
      <c r="A624" s="1" t="s">
        <v>709</v>
      </c>
      <c r="B624" s="1" t="s">
        <v>886</v>
      </c>
      <c r="C624" s="3">
        <v>44758</v>
      </c>
      <c r="D624" s="1" t="s">
        <v>900</v>
      </c>
      <c r="E624" s="1" t="s">
        <v>896</v>
      </c>
      <c r="F624" s="1">
        <v>130</v>
      </c>
      <c r="G624" s="1" t="s">
        <v>1</v>
      </c>
      <c r="H624" s="4">
        <v>5</v>
      </c>
      <c r="I624" s="5">
        <f t="shared" ca="1" si="0"/>
        <v>0.3518145155994179</v>
      </c>
      <c r="J624">
        <f ca="1">Table_3[[#This Row],[Price of One Product]]*Table_3[[#This Row],[No of Products in one Sale]]*(1-Table_3[[#This Row],[Discount]])</f>
        <v>421.32056486037834</v>
      </c>
      <c r="O624">
        <v>599.14760535363541</v>
      </c>
      <c r="P624">
        <v>0.45778234974800269</v>
      </c>
    </row>
    <row r="625" spans="1:16" ht="14.25" customHeight="1">
      <c r="A625" s="1" t="s">
        <v>710</v>
      </c>
      <c r="B625" s="1" t="s">
        <v>883</v>
      </c>
      <c r="C625" s="3">
        <v>44803</v>
      </c>
      <c r="D625" s="1" t="s">
        <v>895</v>
      </c>
      <c r="E625" s="1" t="s">
        <v>896</v>
      </c>
      <c r="F625" s="1">
        <v>72</v>
      </c>
      <c r="G625" s="1" t="s">
        <v>2</v>
      </c>
      <c r="H625" s="4">
        <v>11</v>
      </c>
      <c r="I625" s="5">
        <f t="shared" ca="1" si="0"/>
        <v>0.33442748249030452</v>
      </c>
      <c r="J625">
        <f ca="1">Table_3[[#This Row],[Price of One Product]]*Table_3[[#This Row],[No of Products in one Sale]]*(1-Table_3[[#This Row],[Discount]])</f>
        <v>527.13343386767883</v>
      </c>
      <c r="O625">
        <v>140.59064958234077</v>
      </c>
      <c r="P625">
        <v>0.80340681407134795</v>
      </c>
    </row>
    <row r="626" spans="1:16" ht="14.25" customHeight="1">
      <c r="A626" s="1" t="s">
        <v>711</v>
      </c>
      <c r="B626" s="1" t="s">
        <v>884</v>
      </c>
      <c r="C626" s="3">
        <v>44808</v>
      </c>
      <c r="D626" s="1" t="s">
        <v>897</v>
      </c>
      <c r="E626" s="1" t="s">
        <v>896</v>
      </c>
      <c r="F626" s="1">
        <v>65</v>
      </c>
      <c r="G626" s="1" t="s">
        <v>3</v>
      </c>
      <c r="H626" s="4">
        <v>7</v>
      </c>
      <c r="I626" s="5">
        <f t="shared" ca="1" si="0"/>
        <v>0.43613329200765905</v>
      </c>
      <c r="J626">
        <f ca="1">Table_3[[#This Row],[Price of One Product]]*Table_3[[#This Row],[No of Products in one Sale]]*(1-Table_3[[#This Row],[Discount]])</f>
        <v>256.55935213651514</v>
      </c>
      <c r="O626">
        <v>145.68249137799242</v>
      </c>
      <c r="P626">
        <v>0.64575428517227629</v>
      </c>
    </row>
    <row r="627" spans="1:16" ht="14.25" customHeight="1">
      <c r="A627" s="1" t="s">
        <v>712</v>
      </c>
      <c r="B627" s="1" t="s">
        <v>885</v>
      </c>
      <c r="C627" s="3">
        <v>44784</v>
      </c>
      <c r="D627" s="1" t="s">
        <v>899</v>
      </c>
      <c r="E627" s="1" t="s">
        <v>896</v>
      </c>
      <c r="F627" s="1">
        <v>250</v>
      </c>
      <c r="G627" s="1" t="s">
        <v>1</v>
      </c>
      <c r="H627" s="4">
        <v>2</v>
      </c>
      <c r="I627" s="5">
        <f t="shared" ca="1" si="0"/>
        <v>0.18195556342988939</v>
      </c>
      <c r="J627">
        <f ca="1">Table_3[[#This Row],[Price of One Product]]*Table_3[[#This Row],[No of Products in one Sale]]*(1-Table_3[[#This Row],[Discount]])</f>
        <v>409.02221828505532</v>
      </c>
      <c r="O627">
        <v>312.71106097824116</v>
      </c>
      <c r="P627">
        <v>0.80961047192923052</v>
      </c>
    </row>
    <row r="628" spans="1:16" ht="14.25" customHeight="1">
      <c r="A628" s="1" t="s">
        <v>713</v>
      </c>
      <c r="B628" s="1" t="s">
        <v>886</v>
      </c>
      <c r="C628" s="3">
        <v>44764</v>
      </c>
      <c r="D628" s="1" t="s">
        <v>900</v>
      </c>
      <c r="E628" s="1" t="s">
        <v>896</v>
      </c>
      <c r="F628" s="1">
        <v>130</v>
      </c>
      <c r="G628" s="1" t="s">
        <v>2</v>
      </c>
      <c r="H628" s="4">
        <v>3</v>
      </c>
      <c r="I628" s="5">
        <f t="shared" ca="1" si="0"/>
        <v>0.93437108356111576</v>
      </c>
      <c r="J628">
        <f ca="1">Table_3[[#This Row],[Price of One Product]]*Table_3[[#This Row],[No of Products in one Sale]]*(1-Table_3[[#This Row],[Discount]])</f>
        <v>25.595277411164854</v>
      </c>
      <c r="O628">
        <v>354.17122892565271</v>
      </c>
      <c r="P628">
        <v>0.53571578729254021</v>
      </c>
    </row>
    <row r="629" spans="1:16" ht="14.25" customHeight="1">
      <c r="A629" s="1" t="s">
        <v>714</v>
      </c>
      <c r="B629" s="1" t="s">
        <v>887</v>
      </c>
      <c r="C629" s="3">
        <v>44795</v>
      </c>
      <c r="D629" s="1" t="s">
        <v>901</v>
      </c>
      <c r="E629" s="1" t="s">
        <v>898</v>
      </c>
      <c r="F629" s="1">
        <v>60</v>
      </c>
      <c r="G629" s="1" t="s">
        <v>3</v>
      </c>
      <c r="H629" s="4">
        <v>4</v>
      </c>
      <c r="I629" s="5">
        <f t="shared" ca="1" si="0"/>
        <v>9.9080302005847054E-2</v>
      </c>
      <c r="J629">
        <f ca="1">Table_3[[#This Row],[Price of One Product]]*Table_3[[#This Row],[No of Products in one Sale]]*(1-Table_3[[#This Row],[Discount]])</f>
        <v>216.2207275185967</v>
      </c>
      <c r="O629">
        <v>49.508549194669484</v>
      </c>
      <c r="P629">
        <v>0.29217352951068132</v>
      </c>
    </row>
    <row r="630" spans="1:16" ht="14.25" customHeight="1">
      <c r="A630" s="1" t="s">
        <v>715</v>
      </c>
      <c r="B630" s="1" t="s">
        <v>888</v>
      </c>
      <c r="C630" s="3">
        <v>44799</v>
      </c>
      <c r="D630" s="1" t="s">
        <v>902</v>
      </c>
      <c r="E630" s="1" t="s">
        <v>896</v>
      </c>
      <c r="F630" s="1">
        <v>95</v>
      </c>
      <c r="G630" s="1" t="s">
        <v>1</v>
      </c>
      <c r="H630" s="4">
        <v>4</v>
      </c>
      <c r="I630" s="5">
        <f t="shared" ca="1" si="0"/>
        <v>0.21928568750265631</v>
      </c>
      <c r="J630">
        <f ca="1">Table_3[[#This Row],[Price of One Product]]*Table_3[[#This Row],[No of Products in one Sale]]*(1-Table_3[[#This Row],[Discount]])</f>
        <v>296.67143874899062</v>
      </c>
      <c r="O630">
        <v>346.76456719193277</v>
      </c>
      <c r="P630">
        <v>0.56864990791526426</v>
      </c>
    </row>
    <row r="631" spans="1:16" ht="14.25" customHeight="1">
      <c r="A631" s="1" t="s">
        <v>716</v>
      </c>
      <c r="B631" s="1" t="s">
        <v>883</v>
      </c>
      <c r="C631" s="3">
        <v>44800</v>
      </c>
      <c r="D631" s="1" t="s">
        <v>895</v>
      </c>
      <c r="E631" s="1" t="s">
        <v>896</v>
      </c>
      <c r="F631" s="1">
        <v>72</v>
      </c>
      <c r="G631" s="1" t="s">
        <v>2</v>
      </c>
      <c r="H631" s="4">
        <v>8</v>
      </c>
      <c r="I631" s="5">
        <f t="shared" ca="1" si="0"/>
        <v>0.98021224965622722</v>
      </c>
      <c r="J631">
        <f ca="1">Table_3[[#This Row],[Price of One Product]]*Table_3[[#This Row],[No of Products in one Sale]]*(1-Table_3[[#This Row],[Discount]])</f>
        <v>11.397744198013122</v>
      </c>
      <c r="O631">
        <v>269.49700786607184</v>
      </c>
      <c r="P631">
        <v>5.345034881325561E-2</v>
      </c>
    </row>
    <row r="632" spans="1:16" ht="14.25" customHeight="1">
      <c r="A632" s="1" t="s">
        <v>717</v>
      </c>
      <c r="B632" s="1" t="s">
        <v>884</v>
      </c>
      <c r="C632" s="3">
        <v>44771</v>
      </c>
      <c r="D632" s="1" t="s">
        <v>897</v>
      </c>
      <c r="E632" s="1" t="s">
        <v>896</v>
      </c>
      <c r="F632" s="1">
        <v>65</v>
      </c>
      <c r="G632" s="1" t="s">
        <v>3</v>
      </c>
      <c r="H632" s="4">
        <v>12</v>
      </c>
      <c r="I632" s="5">
        <f t="shared" ca="1" si="0"/>
        <v>0.29037533858546771</v>
      </c>
      <c r="J632">
        <f ca="1">Table_3[[#This Row],[Price of One Product]]*Table_3[[#This Row],[No of Products in one Sale]]*(1-Table_3[[#This Row],[Discount]])</f>
        <v>553.50723590333519</v>
      </c>
      <c r="O632">
        <v>435.75651105863159</v>
      </c>
      <c r="P632">
        <v>0.60315804132822948</v>
      </c>
    </row>
    <row r="633" spans="1:16" ht="14.25" customHeight="1">
      <c r="A633" s="1" t="s">
        <v>718</v>
      </c>
      <c r="B633" s="1" t="s">
        <v>885</v>
      </c>
      <c r="C633" s="3">
        <v>44760</v>
      </c>
      <c r="D633" s="1" t="s">
        <v>899</v>
      </c>
      <c r="E633" s="1" t="s">
        <v>898</v>
      </c>
      <c r="F633" s="1">
        <v>250</v>
      </c>
      <c r="G633" s="1" t="s">
        <v>1</v>
      </c>
      <c r="H633" s="4">
        <v>3</v>
      </c>
      <c r="I633" s="5">
        <f t="shared" ca="1" si="0"/>
        <v>0.84434553214331676</v>
      </c>
      <c r="J633">
        <f ca="1">Table_3[[#This Row],[Price of One Product]]*Table_3[[#This Row],[No of Products in one Sale]]*(1-Table_3[[#This Row],[Discount]])</f>
        <v>116.74085089251243</v>
      </c>
      <c r="O633">
        <v>261.3599126779427</v>
      </c>
      <c r="P633">
        <v>0.40184057388066041</v>
      </c>
    </row>
    <row r="634" spans="1:16" ht="14.25" customHeight="1">
      <c r="A634" s="1" t="s">
        <v>719</v>
      </c>
      <c r="B634" s="1" t="s">
        <v>886</v>
      </c>
      <c r="C634" s="3">
        <v>44778</v>
      </c>
      <c r="D634" s="1" t="s">
        <v>900</v>
      </c>
      <c r="E634" s="1" t="s">
        <v>898</v>
      </c>
      <c r="F634" s="1">
        <v>130</v>
      </c>
      <c r="G634" s="1" t="s">
        <v>2</v>
      </c>
      <c r="H634" s="4">
        <v>2</v>
      </c>
      <c r="I634" s="5">
        <f t="shared" ca="1" si="0"/>
        <v>0.46928151463225409</v>
      </c>
      <c r="J634">
        <f ca="1">Table_3[[#This Row],[Price of One Product]]*Table_3[[#This Row],[No of Products in one Sale]]*(1-Table_3[[#This Row],[Discount]])</f>
        <v>137.98680619561392</v>
      </c>
      <c r="O634">
        <v>189.24739940535628</v>
      </c>
      <c r="P634">
        <v>0.40978406889052477</v>
      </c>
    </row>
    <row r="635" spans="1:16" ht="14.25" customHeight="1">
      <c r="A635" s="1" t="s">
        <v>720</v>
      </c>
      <c r="B635" s="1" t="s">
        <v>883</v>
      </c>
      <c r="C635" s="3">
        <v>44755</v>
      </c>
      <c r="D635" s="1" t="s">
        <v>895</v>
      </c>
      <c r="E635" s="1" t="s">
        <v>898</v>
      </c>
      <c r="F635" s="1">
        <v>72</v>
      </c>
      <c r="G635" s="1" t="s">
        <v>3</v>
      </c>
      <c r="H635" s="4">
        <v>10</v>
      </c>
      <c r="I635" s="5">
        <f t="shared" ca="1" si="0"/>
        <v>0.81075306242165468</v>
      </c>
      <c r="J635">
        <f ca="1">Table_3[[#This Row],[Price of One Product]]*Table_3[[#This Row],[No of Products in one Sale]]*(1-Table_3[[#This Row],[Discount]])</f>
        <v>136.25779505640864</v>
      </c>
      <c r="O635">
        <v>463.27722828210193</v>
      </c>
      <c r="P635">
        <v>0.80177624001829884</v>
      </c>
    </row>
    <row r="636" spans="1:16" ht="14.25" customHeight="1">
      <c r="A636" s="1" t="s">
        <v>721</v>
      </c>
      <c r="B636" s="1" t="s">
        <v>884</v>
      </c>
      <c r="C636" s="3">
        <v>44770</v>
      </c>
      <c r="D636" s="1" t="s">
        <v>897</v>
      </c>
      <c r="E636" s="1" t="s">
        <v>898</v>
      </c>
      <c r="F636" s="1">
        <v>65</v>
      </c>
      <c r="G636" s="1" t="s">
        <v>1</v>
      </c>
      <c r="H636" s="4">
        <v>9</v>
      </c>
      <c r="I636" s="5">
        <f t="shared" ca="1" si="0"/>
        <v>6.3487455096524648E-2</v>
      </c>
      <c r="J636">
        <f ca="1">Table_3[[#This Row],[Price of One Product]]*Table_3[[#This Row],[No of Products in one Sale]]*(1-Table_3[[#This Row],[Discount]])</f>
        <v>547.85983876853311</v>
      </c>
      <c r="O636">
        <v>276.62599371274257</v>
      </c>
      <c r="P636">
        <v>0.4114474795570906</v>
      </c>
    </row>
    <row r="637" spans="1:16" ht="14.25" customHeight="1">
      <c r="A637" s="1" t="s">
        <v>722</v>
      </c>
      <c r="B637" s="1" t="s">
        <v>885</v>
      </c>
      <c r="C637" s="3">
        <v>44772</v>
      </c>
      <c r="D637" s="1" t="s">
        <v>899</v>
      </c>
      <c r="E637" s="1" t="s">
        <v>898</v>
      </c>
      <c r="F637" s="1">
        <v>250</v>
      </c>
      <c r="G637" s="1" t="s">
        <v>2</v>
      </c>
      <c r="H637" s="4">
        <v>2</v>
      </c>
      <c r="I637" s="5">
        <f t="shared" ca="1" si="0"/>
        <v>0.89765186767594085</v>
      </c>
      <c r="J637">
        <f ca="1">Table_3[[#This Row],[Price of One Product]]*Table_3[[#This Row],[No of Products in one Sale]]*(1-Table_3[[#This Row],[Discount]])</f>
        <v>51.174066162029575</v>
      </c>
      <c r="O637">
        <v>53.723503073539234</v>
      </c>
      <c r="P637">
        <v>0.63373474438848187</v>
      </c>
    </row>
    <row r="638" spans="1:16" ht="14.25" customHeight="1">
      <c r="A638" s="1" t="s">
        <v>723</v>
      </c>
      <c r="B638" s="1" t="s">
        <v>886</v>
      </c>
      <c r="C638" s="3">
        <v>44799</v>
      </c>
      <c r="D638" s="1" t="s">
        <v>900</v>
      </c>
      <c r="E638" s="1" t="s">
        <v>898</v>
      </c>
      <c r="F638" s="1">
        <v>130</v>
      </c>
      <c r="G638" s="1" t="s">
        <v>3</v>
      </c>
      <c r="H638" s="4">
        <v>3</v>
      </c>
      <c r="I638" s="5">
        <f t="shared" ca="1" si="0"/>
        <v>0.26549832183286848</v>
      </c>
      <c r="J638">
        <f ca="1">Table_3[[#This Row],[Price of One Product]]*Table_3[[#This Row],[No of Products in one Sale]]*(1-Table_3[[#This Row],[Discount]])</f>
        <v>286.4556544851813</v>
      </c>
      <c r="O638">
        <v>61.300176038993371</v>
      </c>
      <c r="P638">
        <v>0.90131616820175098</v>
      </c>
    </row>
    <row r="639" spans="1:16" ht="14.25" customHeight="1">
      <c r="A639" s="1" t="s">
        <v>724</v>
      </c>
      <c r="B639" s="1" t="s">
        <v>883</v>
      </c>
      <c r="C639" s="3">
        <v>44782</v>
      </c>
      <c r="D639" s="1" t="s">
        <v>895</v>
      </c>
      <c r="E639" s="1" t="s">
        <v>896</v>
      </c>
      <c r="F639" s="1">
        <v>72</v>
      </c>
      <c r="G639" s="1" t="s">
        <v>3</v>
      </c>
      <c r="H639" s="4">
        <v>9</v>
      </c>
      <c r="I639" s="5">
        <f t="shared" ca="1" si="0"/>
        <v>0.69829582269628254</v>
      </c>
      <c r="J639">
        <f ca="1">Table_3[[#This Row],[Price of One Product]]*Table_3[[#This Row],[No of Products in one Sale]]*(1-Table_3[[#This Row],[Discount]])</f>
        <v>195.50430689280893</v>
      </c>
      <c r="O639">
        <v>455.71328121521196</v>
      </c>
      <c r="P639">
        <v>0.93310054419872923</v>
      </c>
    </row>
    <row r="640" spans="1:16" ht="14.25" customHeight="1">
      <c r="A640" s="1" t="s">
        <v>725</v>
      </c>
      <c r="B640" s="1" t="s">
        <v>884</v>
      </c>
      <c r="C640" s="3">
        <v>44761</v>
      </c>
      <c r="D640" s="1" t="s">
        <v>897</v>
      </c>
      <c r="E640" s="1" t="s">
        <v>898</v>
      </c>
      <c r="F640" s="1">
        <v>65</v>
      </c>
      <c r="G640" s="1" t="s">
        <v>1</v>
      </c>
      <c r="H640" s="4">
        <v>6</v>
      </c>
      <c r="I640" s="5">
        <f t="shared" ca="1" si="0"/>
        <v>0.50796280613096567</v>
      </c>
      <c r="J640">
        <f ca="1">Table_3[[#This Row],[Price of One Product]]*Table_3[[#This Row],[No of Products in one Sale]]*(1-Table_3[[#This Row],[Discount]])</f>
        <v>191.8945056089234</v>
      </c>
      <c r="O640">
        <v>185.33307605080569</v>
      </c>
      <c r="P640">
        <v>0.11560961385104063</v>
      </c>
    </row>
    <row r="641" spans="1:16" ht="14.25" customHeight="1">
      <c r="A641" s="1" t="s">
        <v>726</v>
      </c>
      <c r="B641" s="1" t="s">
        <v>885</v>
      </c>
      <c r="C641" s="3">
        <v>44794</v>
      </c>
      <c r="D641" s="1" t="s">
        <v>899</v>
      </c>
      <c r="E641" s="1" t="s">
        <v>896</v>
      </c>
      <c r="F641" s="1">
        <v>250</v>
      </c>
      <c r="G641" s="1" t="s">
        <v>2</v>
      </c>
      <c r="H641" s="4">
        <v>3</v>
      </c>
      <c r="I641" s="5">
        <f t="shared" ca="1" si="0"/>
        <v>0.81112337659751532</v>
      </c>
      <c r="J641">
        <f ca="1">Table_3[[#This Row],[Price of One Product]]*Table_3[[#This Row],[No of Products in one Sale]]*(1-Table_3[[#This Row],[Discount]])</f>
        <v>141.6574675518635</v>
      </c>
      <c r="O641">
        <v>598.45543567004404</v>
      </c>
      <c r="P641">
        <v>0.74935241001045505</v>
      </c>
    </row>
    <row r="642" spans="1:16" ht="14.25" customHeight="1">
      <c r="A642" s="1" t="s">
        <v>727</v>
      </c>
      <c r="B642" s="1" t="s">
        <v>886</v>
      </c>
      <c r="C642" s="3">
        <v>44762</v>
      </c>
      <c r="D642" s="1" t="s">
        <v>900</v>
      </c>
      <c r="E642" s="1" t="s">
        <v>898</v>
      </c>
      <c r="F642" s="1">
        <v>130</v>
      </c>
      <c r="G642" s="1" t="s">
        <v>3</v>
      </c>
      <c r="H642" s="4">
        <v>3</v>
      </c>
      <c r="I642" s="5">
        <f t="shared" ca="1" si="0"/>
        <v>0.67651497297612095</v>
      </c>
      <c r="J642">
        <f ca="1">Table_3[[#This Row],[Price of One Product]]*Table_3[[#This Row],[No of Products in one Sale]]*(1-Table_3[[#This Row],[Discount]])</f>
        <v>126.15916053931282</v>
      </c>
      <c r="O642">
        <v>322.23587073624009</v>
      </c>
      <c r="P642">
        <v>0.8699882895273261</v>
      </c>
    </row>
    <row r="643" spans="1:16" ht="14.25" customHeight="1">
      <c r="A643" s="1" t="s">
        <v>728</v>
      </c>
      <c r="B643" s="1" t="s">
        <v>883</v>
      </c>
      <c r="C643" s="3">
        <v>44769</v>
      </c>
      <c r="D643" s="1" t="s">
        <v>895</v>
      </c>
      <c r="E643" s="1" t="s">
        <v>896</v>
      </c>
      <c r="F643" s="1">
        <v>72</v>
      </c>
      <c r="G643" s="1" t="s">
        <v>1</v>
      </c>
      <c r="H643" s="4">
        <v>11</v>
      </c>
      <c r="I643" s="5">
        <f t="shared" ca="1" si="0"/>
        <v>0.6421639857853122</v>
      </c>
      <c r="J643">
        <f ca="1">Table_3[[#This Row],[Price of One Product]]*Table_3[[#This Row],[No of Products in one Sale]]*(1-Table_3[[#This Row],[Discount]])</f>
        <v>283.40612325803272</v>
      </c>
      <c r="O643">
        <v>351.54718494443887</v>
      </c>
      <c r="P643">
        <v>0.59872341544100205</v>
      </c>
    </row>
    <row r="644" spans="1:16" ht="14.25" customHeight="1">
      <c r="A644" s="1" t="s">
        <v>729</v>
      </c>
      <c r="B644" s="1" t="s">
        <v>884</v>
      </c>
      <c r="C644" s="3">
        <v>44770</v>
      </c>
      <c r="D644" s="1" t="s">
        <v>897</v>
      </c>
      <c r="E644" s="1" t="s">
        <v>898</v>
      </c>
      <c r="F644" s="1">
        <v>65</v>
      </c>
      <c r="G644" s="1" t="s">
        <v>2</v>
      </c>
      <c r="H644" s="4">
        <v>13</v>
      </c>
      <c r="I644" s="5">
        <f t="shared" ca="1" si="0"/>
        <v>0.80443463186351793</v>
      </c>
      <c r="J644">
        <f ca="1">Table_3[[#This Row],[Price of One Product]]*Table_3[[#This Row],[No of Products in one Sale]]*(1-Table_3[[#This Row],[Discount]])</f>
        <v>165.25273607532733</v>
      </c>
      <c r="O644">
        <v>153.22945098764285</v>
      </c>
      <c r="P644">
        <v>0.21901593253886043</v>
      </c>
    </row>
    <row r="645" spans="1:16" ht="14.25" customHeight="1">
      <c r="A645" s="1" t="s">
        <v>730</v>
      </c>
      <c r="B645" s="1" t="s">
        <v>885</v>
      </c>
      <c r="C645" s="3">
        <v>44797</v>
      </c>
      <c r="D645" s="1" t="s">
        <v>899</v>
      </c>
      <c r="E645" s="1" t="s">
        <v>896</v>
      </c>
      <c r="F645" s="1">
        <v>250</v>
      </c>
      <c r="G645" s="1" t="s">
        <v>3</v>
      </c>
      <c r="H645" s="4">
        <v>3</v>
      </c>
      <c r="I645" s="5">
        <f t="shared" ca="1" si="0"/>
        <v>0.74007864408069279</v>
      </c>
      <c r="J645">
        <f ca="1">Table_3[[#This Row],[Price of One Product]]*Table_3[[#This Row],[No of Products in one Sale]]*(1-Table_3[[#This Row],[Discount]])</f>
        <v>194.94101693948039</v>
      </c>
      <c r="O645">
        <v>570.75546040816585</v>
      </c>
      <c r="P645">
        <v>0.21817835735404068</v>
      </c>
    </row>
    <row r="646" spans="1:16" ht="14.25" customHeight="1">
      <c r="A646" s="1" t="s">
        <v>731</v>
      </c>
      <c r="B646" s="1" t="s">
        <v>886</v>
      </c>
      <c r="C646" s="3">
        <v>44783</v>
      </c>
      <c r="D646" s="1" t="s">
        <v>900</v>
      </c>
      <c r="E646" s="1" t="s">
        <v>898</v>
      </c>
      <c r="F646" s="1">
        <v>130</v>
      </c>
      <c r="G646" s="1" t="s">
        <v>1</v>
      </c>
      <c r="H646" s="4">
        <v>3</v>
      </c>
      <c r="I646" s="5">
        <f t="shared" ca="1" si="0"/>
        <v>0.58509102050542861</v>
      </c>
      <c r="J646">
        <f ca="1">Table_3[[#This Row],[Price of One Product]]*Table_3[[#This Row],[No of Products in one Sale]]*(1-Table_3[[#This Row],[Discount]])</f>
        <v>161.81450200288285</v>
      </c>
      <c r="O646">
        <v>253.97346983497891</v>
      </c>
      <c r="P646">
        <v>3.4197094026859998E-2</v>
      </c>
    </row>
    <row r="647" spans="1:16" ht="14.25" customHeight="1">
      <c r="A647" s="1" t="s">
        <v>732</v>
      </c>
      <c r="B647" s="1" t="s">
        <v>887</v>
      </c>
      <c r="C647" s="3">
        <v>44801</v>
      </c>
      <c r="D647" s="1" t="s">
        <v>901</v>
      </c>
      <c r="E647" s="1" t="s">
        <v>896</v>
      </c>
      <c r="F647" s="1">
        <v>60</v>
      </c>
      <c r="G647" s="1" t="s">
        <v>2</v>
      </c>
      <c r="H647" s="4">
        <v>6</v>
      </c>
      <c r="I647" s="5">
        <f t="shared" ca="1" si="0"/>
        <v>0.12491931441298232</v>
      </c>
      <c r="J647">
        <f ca="1">Table_3[[#This Row],[Price of One Product]]*Table_3[[#This Row],[No of Products in one Sale]]*(1-Table_3[[#This Row],[Discount]])</f>
        <v>315.02904681132634</v>
      </c>
      <c r="O647">
        <v>228.22379287074378</v>
      </c>
      <c r="P647">
        <v>0.65890218089263719</v>
      </c>
    </row>
    <row r="648" spans="1:16" ht="14.25" customHeight="1">
      <c r="A648" s="1" t="s">
        <v>733</v>
      </c>
      <c r="B648" s="1" t="s">
        <v>883</v>
      </c>
      <c r="C648" s="3">
        <v>44808</v>
      </c>
      <c r="D648" s="1" t="s">
        <v>895</v>
      </c>
      <c r="E648" s="1" t="s">
        <v>898</v>
      </c>
      <c r="F648" s="1">
        <v>72</v>
      </c>
      <c r="G648" s="1" t="s">
        <v>3</v>
      </c>
      <c r="H648" s="4">
        <v>6</v>
      </c>
      <c r="I648" s="5">
        <f t="shared" ca="1" si="0"/>
        <v>0.51418531417222901</v>
      </c>
      <c r="J648">
        <f ca="1">Table_3[[#This Row],[Price of One Product]]*Table_3[[#This Row],[No of Products in one Sale]]*(1-Table_3[[#This Row],[Discount]])</f>
        <v>209.87194427759707</v>
      </c>
      <c r="O648">
        <v>75.658006418943472</v>
      </c>
      <c r="P648">
        <v>0.94021466763730699</v>
      </c>
    </row>
    <row r="649" spans="1:16" ht="14.25" customHeight="1">
      <c r="A649" s="1" t="s">
        <v>734</v>
      </c>
      <c r="B649" s="1" t="s">
        <v>884</v>
      </c>
      <c r="C649" s="3">
        <v>44808</v>
      </c>
      <c r="D649" s="1" t="s">
        <v>897</v>
      </c>
      <c r="E649" s="1" t="s">
        <v>896</v>
      </c>
      <c r="F649" s="1">
        <v>65</v>
      </c>
      <c r="G649" s="1" t="s">
        <v>1</v>
      </c>
      <c r="H649" s="4">
        <v>5</v>
      </c>
      <c r="I649" s="5">
        <f t="shared" ca="1" si="0"/>
        <v>0.94325918329332437</v>
      </c>
      <c r="J649">
        <f ca="1">Table_3[[#This Row],[Price of One Product]]*Table_3[[#This Row],[No of Products in one Sale]]*(1-Table_3[[#This Row],[Discount]])</f>
        <v>18.440765429669582</v>
      </c>
      <c r="O649">
        <v>53.320725721929556</v>
      </c>
      <c r="P649">
        <v>0.70478519473525481</v>
      </c>
    </row>
    <row r="650" spans="1:16" ht="14.25" customHeight="1">
      <c r="A650" s="1" t="s">
        <v>735</v>
      </c>
      <c r="B650" s="1" t="s">
        <v>885</v>
      </c>
      <c r="C650" s="3">
        <v>44781</v>
      </c>
      <c r="D650" s="1" t="s">
        <v>899</v>
      </c>
      <c r="E650" s="1" t="s">
        <v>898</v>
      </c>
      <c r="F650" s="1">
        <v>250</v>
      </c>
      <c r="G650" s="1" t="s">
        <v>2</v>
      </c>
      <c r="H650" s="4">
        <v>3</v>
      </c>
      <c r="I650" s="5">
        <f t="shared" ca="1" si="0"/>
        <v>0.88555886344887313</v>
      </c>
      <c r="J650">
        <f ca="1">Table_3[[#This Row],[Price of One Product]]*Table_3[[#This Row],[No of Products in one Sale]]*(1-Table_3[[#This Row],[Discount]])</f>
        <v>85.830852413345156</v>
      </c>
      <c r="O650">
        <v>443.16386397204889</v>
      </c>
      <c r="P650">
        <v>0.65688473169266159</v>
      </c>
    </row>
    <row r="651" spans="1:16" ht="14.25" customHeight="1">
      <c r="A651" s="1" t="s">
        <v>736</v>
      </c>
      <c r="B651" s="1" t="s">
        <v>886</v>
      </c>
      <c r="C651" s="3">
        <v>44783</v>
      </c>
      <c r="D651" s="1" t="s">
        <v>900</v>
      </c>
      <c r="E651" s="1" t="s">
        <v>896</v>
      </c>
      <c r="F651" s="1">
        <v>130</v>
      </c>
      <c r="G651" s="1" t="s">
        <v>3</v>
      </c>
      <c r="H651" s="4">
        <v>6</v>
      </c>
      <c r="I651" s="5">
        <f t="shared" ca="1" si="0"/>
        <v>0.19175010196678599</v>
      </c>
      <c r="J651">
        <f ca="1">Table_3[[#This Row],[Price of One Product]]*Table_3[[#This Row],[No of Products in one Sale]]*(1-Table_3[[#This Row],[Discount]])</f>
        <v>630.43492046590688</v>
      </c>
      <c r="O651">
        <v>495.84275241596163</v>
      </c>
      <c r="P651">
        <v>0.25274560871925422</v>
      </c>
    </row>
    <row r="652" spans="1:16" ht="14.25" customHeight="1">
      <c r="A652" s="1" t="s">
        <v>737</v>
      </c>
      <c r="B652" s="1" t="s">
        <v>883</v>
      </c>
      <c r="C652" s="3">
        <v>44762</v>
      </c>
      <c r="D652" s="1" t="s">
        <v>895</v>
      </c>
      <c r="E652" s="1" t="s">
        <v>898</v>
      </c>
      <c r="F652" s="1">
        <v>72</v>
      </c>
      <c r="G652" s="1" t="s">
        <v>1</v>
      </c>
      <c r="H652" s="4">
        <v>5</v>
      </c>
      <c r="I652" s="5">
        <f t="shared" ca="1" si="0"/>
        <v>0.28833142351149676</v>
      </c>
      <c r="J652">
        <f ca="1">Table_3[[#This Row],[Price of One Product]]*Table_3[[#This Row],[No of Products in one Sale]]*(1-Table_3[[#This Row],[Discount]])</f>
        <v>256.20068753586116</v>
      </c>
      <c r="O652">
        <v>208.38598536680649</v>
      </c>
      <c r="P652">
        <v>0.49188549257670122</v>
      </c>
    </row>
    <row r="653" spans="1:16" ht="14.25" customHeight="1">
      <c r="A653" s="1" t="s">
        <v>738</v>
      </c>
      <c r="B653" s="1" t="s">
        <v>884</v>
      </c>
      <c r="C653" s="3">
        <v>44800</v>
      </c>
      <c r="D653" s="1" t="s">
        <v>897</v>
      </c>
      <c r="E653" s="1" t="s">
        <v>896</v>
      </c>
      <c r="F653" s="1">
        <v>65</v>
      </c>
      <c r="G653" s="1" t="s">
        <v>2</v>
      </c>
      <c r="H653" s="4">
        <v>10</v>
      </c>
      <c r="I653" s="5">
        <f t="shared" ca="1" si="0"/>
        <v>0.70557541845507366</v>
      </c>
      <c r="J653">
        <f ca="1">Table_3[[#This Row],[Price of One Product]]*Table_3[[#This Row],[No of Products in one Sale]]*(1-Table_3[[#This Row],[Discount]])</f>
        <v>191.37597800420212</v>
      </c>
      <c r="O653">
        <v>324.88236824721997</v>
      </c>
      <c r="P653">
        <v>0.26914471306829613</v>
      </c>
    </row>
    <row r="654" spans="1:16" ht="14.25" customHeight="1">
      <c r="A654" s="1" t="s">
        <v>739</v>
      </c>
      <c r="B654" s="1" t="s">
        <v>885</v>
      </c>
      <c r="C654" s="3">
        <v>44799</v>
      </c>
      <c r="D654" s="1" t="s">
        <v>899</v>
      </c>
      <c r="E654" s="1" t="s">
        <v>898</v>
      </c>
      <c r="F654" s="1">
        <v>250</v>
      </c>
      <c r="G654" s="1" t="s">
        <v>3</v>
      </c>
      <c r="H654" s="4">
        <v>2</v>
      </c>
      <c r="I654" s="5">
        <f t="shared" ca="1" si="0"/>
        <v>0.66216603316310374</v>
      </c>
      <c r="J654">
        <f ca="1">Table_3[[#This Row],[Price of One Product]]*Table_3[[#This Row],[No of Products in one Sale]]*(1-Table_3[[#This Row],[Discount]])</f>
        <v>168.91698341844813</v>
      </c>
      <c r="O654">
        <v>118.13075029544179</v>
      </c>
      <c r="P654">
        <v>0.72531906063246609</v>
      </c>
    </row>
    <row r="655" spans="1:16" ht="14.25" customHeight="1">
      <c r="A655" s="1" t="s">
        <v>740</v>
      </c>
      <c r="B655" s="1" t="s">
        <v>886</v>
      </c>
      <c r="C655" s="3">
        <v>44777</v>
      </c>
      <c r="D655" s="1" t="s">
        <v>900</v>
      </c>
      <c r="E655" s="1" t="s">
        <v>896</v>
      </c>
      <c r="F655" s="1">
        <v>130</v>
      </c>
      <c r="G655" s="1" t="s">
        <v>1</v>
      </c>
      <c r="H655" s="4">
        <v>2</v>
      </c>
      <c r="I655" s="5">
        <f t="shared" ca="1" si="0"/>
        <v>0.58378008082677424</v>
      </c>
      <c r="J655">
        <f ca="1">Table_3[[#This Row],[Price of One Product]]*Table_3[[#This Row],[No of Products in one Sale]]*(1-Table_3[[#This Row],[Discount]])</f>
        <v>108.2171789850387</v>
      </c>
      <c r="O655">
        <v>132.57811099675754</v>
      </c>
      <c r="P655">
        <v>0.6662352573535435</v>
      </c>
    </row>
    <row r="656" spans="1:16" ht="14.25" customHeight="1">
      <c r="A656" s="1" t="s">
        <v>741</v>
      </c>
      <c r="B656" s="1" t="s">
        <v>887</v>
      </c>
      <c r="C656" s="3">
        <v>44800</v>
      </c>
      <c r="D656" s="1" t="s">
        <v>901</v>
      </c>
      <c r="E656" s="1" t="s">
        <v>896</v>
      </c>
      <c r="F656" s="1">
        <v>60</v>
      </c>
      <c r="G656" s="1" t="s">
        <v>2</v>
      </c>
      <c r="H656" s="4">
        <v>10</v>
      </c>
      <c r="I656" s="5">
        <f t="shared" ca="1" si="0"/>
        <v>0.63040801987426764</v>
      </c>
      <c r="J656">
        <f ca="1">Table_3[[#This Row],[Price of One Product]]*Table_3[[#This Row],[No of Products in one Sale]]*(1-Table_3[[#This Row],[Discount]])</f>
        <v>221.75518807543941</v>
      </c>
      <c r="O656">
        <v>346.53607155221766</v>
      </c>
      <c r="P656">
        <v>0.28956038350729019</v>
      </c>
    </row>
    <row r="657" spans="1:16" ht="14.25" customHeight="1">
      <c r="A657" s="1" t="s">
        <v>742</v>
      </c>
      <c r="B657" s="1" t="s">
        <v>888</v>
      </c>
      <c r="C657" s="3">
        <v>44770</v>
      </c>
      <c r="D657" s="1" t="s">
        <v>902</v>
      </c>
      <c r="E657" s="1" t="s">
        <v>898</v>
      </c>
      <c r="F657" s="1">
        <v>95</v>
      </c>
      <c r="G657" s="1" t="s">
        <v>3</v>
      </c>
      <c r="H657" s="4">
        <v>3</v>
      </c>
      <c r="I657" s="5">
        <f t="shared" ca="1" si="0"/>
        <v>0.52676555014305504</v>
      </c>
      <c r="J657">
        <f ca="1">Table_3[[#This Row],[Price of One Product]]*Table_3[[#This Row],[No of Products in one Sale]]*(1-Table_3[[#This Row],[Discount]])</f>
        <v>134.8718182092293</v>
      </c>
      <c r="O657">
        <v>173.04404506274682</v>
      </c>
      <c r="P657">
        <v>0.19973652709563661</v>
      </c>
    </row>
    <row r="658" spans="1:16" ht="14.25" customHeight="1">
      <c r="A658" s="1" t="s">
        <v>743</v>
      </c>
      <c r="B658" s="1" t="s">
        <v>883</v>
      </c>
      <c r="C658" s="3">
        <v>44774</v>
      </c>
      <c r="D658" s="1" t="s">
        <v>895</v>
      </c>
      <c r="E658" s="1" t="s">
        <v>898</v>
      </c>
      <c r="F658" s="1">
        <v>72</v>
      </c>
      <c r="G658" s="1" t="s">
        <v>1</v>
      </c>
      <c r="H658" s="4">
        <v>6</v>
      </c>
      <c r="I658" s="5">
        <f t="shared" ca="1" si="0"/>
        <v>8.8632590062824423E-2</v>
      </c>
      <c r="J658">
        <f ca="1">Table_3[[#This Row],[Price of One Product]]*Table_3[[#This Row],[No of Products in one Sale]]*(1-Table_3[[#This Row],[Discount]])</f>
        <v>393.71072109285984</v>
      </c>
      <c r="O658">
        <v>219.62043103300911</v>
      </c>
      <c r="P658">
        <v>0.44180298739442259</v>
      </c>
    </row>
    <row r="659" spans="1:16" ht="14.25" customHeight="1">
      <c r="A659" s="1" t="s">
        <v>744</v>
      </c>
      <c r="B659" s="1" t="s">
        <v>884</v>
      </c>
      <c r="C659" s="3">
        <v>44779</v>
      </c>
      <c r="D659" s="1" t="s">
        <v>897</v>
      </c>
      <c r="E659" s="1" t="s">
        <v>898</v>
      </c>
      <c r="F659" s="1">
        <v>65</v>
      </c>
      <c r="G659" s="1" t="s">
        <v>2</v>
      </c>
      <c r="H659" s="4">
        <v>8</v>
      </c>
      <c r="I659" s="5">
        <f t="shared" ca="1" si="0"/>
        <v>0.32406522854632924</v>
      </c>
      <c r="J659">
        <f ca="1">Table_3[[#This Row],[Price of One Product]]*Table_3[[#This Row],[No of Products in one Sale]]*(1-Table_3[[#This Row],[Discount]])</f>
        <v>351.48608115590878</v>
      </c>
      <c r="O659">
        <v>5.856765516601099</v>
      </c>
      <c r="P659">
        <v>0.751772820895242</v>
      </c>
    </row>
    <row r="660" spans="1:16" ht="14.25" customHeight="1">
      <c r="A660" s="1" t="s">
        <v>745</v>
      </c>
      <c r="B660" s="1" t="s">
        <v>885</v>
      </c>
      <c r="C660" s="3">
        <v>44796</v>
      </c>
      <c r="D660" s="1" t="s">
        <v>899</v>
      </c>
      <c r="E660" s="1" t="s">
        <v>896</v>
      </c>
      <c r="F660" s="1">
        <v>250</v>
      </c>
      <c r="G660" s="1" t="s">
        <v>3</v>
      </c>
      <c r="H660" s="4">
        <v>2</v>
      </c>
      <c r="I660" s="5">
        <f t="shared" ca="1" si="0"/>
        <v>0.69492004411710517</v>
      </c>
      <c r="J660">
        <f ca="1">Table_3[[#This Row],[Price of One Product]]*Table_3[[#This Row],[No of Products in one Sale]]*(1-Table_3[[#This Row],[Discount]])</f>
        <v>152.5399779414474</v>
      </c>
      <c r="O660">
        <v>45.343592342969195</v>
      </c>
      <c r="P660">
        <v>6.5790747772204505E-2</v>
      </c>
    </row>
    <row r="661" spans="1:16" ht="14.25" customHeight="1">
      <c r="A661" s="1" t="s">
        <v>746</v>
      </c>
      <c r="B661" s="1" t="s">
        <v>886</v>
      </c>
      <c r="C661" s="3">
        <v>44772</v>
      </c>
      <c r="D661" s="1" t="s">
        <v>900</v>
      </c>
      <c r="E661" s="1" t="s">
        <v>896</v>
      </c>
      <c r="F661" s="1">
        <v>130</v>
      </c>
      <c r="G661" s="1" t="s">
        <v>1</v>
      </c>
      <c r="H661" s="4">
        <v>2</v>
      </c>
      <c r="I661" s="5">
        <f t="shared" ca="1" si="0"/>
        <v>0.42290934865707042</v>
      </c>
      <c r="J661">
        <f ca="1">Table_3[[#This Row],[Price of One Product]]*Table_3[[#This Row],[No of Products in one Sale]]*(1-Table_3[[#This Row],[Discount]])</f>
        <v>150.04356934916169</v>
      </c>
      <c r="O661">
        <v>11.108437189831037</v>
      </c>
      <c r="P661">
        <v>0.2037908343657886</v>
      </c>
    </row>
    <row r="662" spans="1:16" ht="14.25" customHeight="1">
      <c r="A662" s="1" t="s">
        <v>747</v>
      </c>
      <c r="B662" s="1" t="s">
        <v>883</v>
      </c>
      <c r="C662" s="3">
        <v>44809</v>
      </c>
      <c r="D662" s="1" t="s">
        <v>895</v>
      </c>
      <c r="E662" s="1" t="s">
        <v>896</v>
      </c>
      <c r="F662" s="1">
        <v>72</v>
      </c>
      <c r="G662" s="1" t="s">
        <v>2</v>
      </c>
      <c r="H662" s="4">
        <v>9</v>
      </c>
      <c r="I662" s="5">
        <f t="shared" ca="1" si="0"/>
        <v>0.13600744017746558</v>
      </c>
      <c r="J662">
        <f ca="1">Table_3[[#This Row],[Price of One Product]]*Table_3[[#This Row],[No of Products in one Sale]]*(1-Table_3[[#This Row],[Discount]])</f>
        <v>559.86717876500234</v>
      </c>
      <c r="O662">
        <v>490.6502669882039</v>
      </c>
      <c r="P662">
        <v>6.12910420221775E-2</v>
      </c>
    </row>
    <row r="663" spans="1:16" ht="14.25" customHeight="1">
      <c r="A663" s="1" t="s">
        <v>748</v>
      </c>
      <c r="B663" s="1" t="s">
        <v>884</v>
      </c>
      <c r="C663" s="3">
        <v>44757</v>
      </c>
      <c r="D663" s="1" t="s">
        <v>897</v>
      </c>
      <c r="E663" s="1" t="s">
        <v>896</v>
      </c>
      <c r="F663" s="1">
        <v>65</v>
      </c>
      <c r="G663" s="1" t="s">
        <v>3</v>
      </c>
      <c r="H663" s="4">
        <v>4</v>
      </c>
      <c r="I663" s="5">
        <f t="shared" ca="1" si="0"/>
        <v>0.54769777576512912</v>
      </c>
      <c r="J663">
        <f ca="1">Table_3[[#This Row],[Price of One Product]]*Table_3[[#This Row],[No of Products in one Sale]]*(1-Table_3[[#This Row],[Discount]])</f>
        <v>117.59857830106642</v>
      </c>
      <c r="O663">
        <v>226.71605332682327</v>
      </c>
      <c r="P663">
        <v>0.14602063978926272</v>
      </c>
    </row>
    <row r="664" spans="1:16" ht="14.25" customHeight="1">
      <c r="A664" s="1" t="s">
        <v>749</v>
      </c>
      <c r="B664" s="1" t="s">
        <v>885</v>
      </c>
      <c r="C664" s="3">
        <v>44782</v>
      </c>
      <c r="D664" s="1" t="s">
        <v>899</v>
      </c>
      <c r="E664" s="1" t="s">
        <v>896</v>
      </c>
      <c r="F664" s="1">
        <v>250</v>
      </c>
      <c r="G664" s="1" t="s">
        <v>1</v>
      </c>
      <c r="H664" s="4">
        <v>1</v>
      </c>
      <c r="I664" s="5">
        <f t="shared" ca="1" si="0"/>
        <v>0.47373190992172531</v>
      </c>
      <c r="J664">
        <f ca="1">Table_3[[#This Row],[Price of One Product]]*Table_3[[#This Row],[No of Products in one Sale]]*(1-Table_3[[#This Row],[Discount]])</f>
        <v>131.56702251956867</v>
      </c>
      <c r="O664">
        <v>73.554533070909315</v>
      </c>
      <c r="P664">
        <v>0.74106301585393175</v>
      </c>
    </row>
    <row r="665" spans="1:16" ht="14.25" customHeight="1">
      <c r="A665" s="1" t="s">
        <v>750</v>
      </c>
      <c r="B665" s="1" t="s">
        <v>886</v>
      </c>
      <c r="C665" s="3">
        <v>44809</v>
      </c>
      <c r="D665" s="1" t="s">
        <v>900</v>
      </c>
      <c r="E665" s="1" t="s">
        <v>896</v>
      </c>
      <c r="F665" s="1">
        <v>130</v>
      </c>
      <c r="G665" s="1" t="s">
        <v>2</v>
      </c>
      <c r="H665" s="4">
        <v>5</v>
      </c>
      <c r="I665" s="5">
        <f t="shared" ca="1" si="0"/>
        <v>0.4221955436935908</v>
      </c>
      <c r="J665">
        <f ca="1">Table_3[[#This Row],[Price of One Product]]*Table_3[[#This Row],[No of Products in one Sale]]*(1-Table_3[[#This Row],[Discount]])</f>
        <v>375.57289659916597</v>
      </c>
      <c r="O665">
        <v>578.71450967624719</v>
      </c>
      <c r="P665">
        <v>0.40656660364450314</v>
      </c>
    </row>
    <row r="666" spans="1:16" ht="14.25" customHeight="1">
      <c r="A666" s="1" t="s">
        <v>751</v>
      </c>
      <c r="B666" s="1" t="s">
        <v>887</v>
      </c>
      <c r="C666" s="3">
        <v>44795</v>
      </c>
      <c r="D666" s="1" t="s">
        <v>901</v>
      </c>
      <c r="E666" s="1" t="s">
        <v>896</v>
      </c>
      <c r="F666" s="1">
        <v>60</v>
      </c>
      <c r="G666" s="1" t="s">
        <v>3</v>
      </c>
      <c r="H666" s="4">
        <v>12</v>
      </c>
      <c r="I666" s="5">
        <f t="shared" ca="1" si="0"/>
        <v>0.29707302368453548</v>
      </c>
      <c r="J666">
        <f ca="1">Table_3[[#This Row],[Price of One Product]]*Table_3[[#This Row],[No of Products in one Sale]]*(1-Table_3[[#This Row],[Discount]])</f>
        <v>506.10742294713447</v>
      </c>
      <c r="O666">
        <v>665.84857274156013</v>
      </c>
      <c r="P666">
        <v>0.31915789624827973</v>
      </c>
    </row>
    <row r="667" spans="1:16" ht="14.25" customHeight="1">
      <c r="A667" s="1" t="s">
        <v>752</v>
      </c>
      <c r="B667" s="1" t="s">
        <v>883</v>
      </c>
      <c r="C667" s="3">
        <v>44801</v>
      </c>
      <c r="D667" s="1" t="s">
        <v>895</v>
      </c>
      <c r="E667" s="1" t="s">
        <v>896</v>
      </c>
      <c r="F667" s="1">
        <v>72</v>
      </c>
      <c r="G667" s="1" t="s">
        <v>1</v>
      </c>
      <c r="H667" s="4">
        <v>6</v>
      </c>
      <c r="I667" s="5">
        <f t="shared" ca="1" si="0"/>
        <v>0.8487475402287642</v>
      </c>
      <c r="J667">
        <f ca="1">Table_3[[#This Row],[Price of One Product]]*Table_3[[#This Row],[No of Products in one Sale]]*(1-Table_3[[#This Row],[Discount]])</f>
        <v>65.341062621173862</v>
      </c>
      <c r="O667">
        <v>131.61962791025422</v>
      </c>
      <c r="P667">
        <v>0.1909631599448105</v>
      </c>
    </row>
    <row r="668" spans="1:16" ht="14.25" customHeight="1">
      <c r="A668" s="1" t="s">
        <v>753</v>
      </c>
      <c r="B668" s="1" t="s">
        <v>884</v>
      </c>
      <c r="C668" s="3">
        <v>44770</v>
      </c>
      <c r="D668" s="1" t="s">
        <v>897</v>
      </c>
      <c r="E668" s="1" t="s">
        <v>896</v>
      </c>
      <c r="F668" s="1">
        <v>65</v>
      </c>
      <c r="G668" s="1" t="s">
        <v>2</v>
      </c>
      <c r="H668" s="4">
        <v>6</v>
      </c>
      <c r="I668" s="5">
        <f t="shared" ca="1" si="0"/>
        <v>6.2434109499873713E-2</v>
      </c>
      <c r="J668">
        <f ca="1">Table_3[[#This Row],[Price of One Product]]*Table_3[[#This Row],[No of Products in one Sale]]*(1-Table_3[[#This Row],[Discount]])</f>
        <v>365.65069729504927</v>
      </c>
      <c r="O668">
        <v>48.64151164250962</v>
      </c>
      <c r="P668">
        <v>0.83731927445873211</v>
      </c>
    </row>
    <row r="669" spans="1:16" ht="14.25" customHeight="1">
      <c r="A669" s="1" t="s">
        <v>754</v>
      </c>
      <c r="B669" s="1" t="s">
        <v>885</v>
      </c>
      <c r="C669" s="3">
        <v>44764</v>
      </c>
      <c r="D669" s="1" t="s">
        <v>899</v>
      </c>
      <c r="E669" s="1" t="s">
        <v>898</v>
      </c>
      <c r="F669" s="1">
        <v>250</v>
      </c>
      <c r="G669" s="1" t="s">
        <v>3</v>
      </c>
      <c r="H669" s="4">
        <v>2</v>
      </c>
      <c r="I669" s="5">
        <f t="shared" ca="1" si="0"/>
        <v>0.13943065083769834</v>
      </c>
      <c r="J669">
        <f ca="1">Table_3[[#This Row],[Price of One Product]]*Table_3[[#This Row],[No of Products in one Sale]]*(1-Table_3[[#This Row],[Discount]])</f>
        <v>430.28467458115085</v>
      </c>
      <c r="O669">
        <v>93.060377763484411</v>
      </c>
      <c r="P669">
        <v>0.67599883831242713</v>
      </c>
    </row>
    <row r="670" spans="1:16" ht="14.25" customHeight="1">
      <c r="A670" s="1" t="s">
        <v>755</v>
      </c>
      <c r="B670" s="1" t="s">
        <v>886</v>
      </c>
      <c r="C670" s="3">
        <v>44776</v>
      </c>
      <c r="D670" s="1" t="s">
        <v>900</v>
      </c>
      <c r="E670" s="1" t="s">
        <v>896</v>
      </c>
      <c r="F670" s="1">
        <v>130</v>
      </c>
      <c r="G670" s="1" t="s">
        <v>1</v>
      </c>
      <c r="H670" s="4">
        <v>4</v>
      </c>
      <c r="I670" s="5">
        <f t="shared" ca="1" si="0"/>
        <v>0.59545818200481315</v>
      </c>
      <c r="J670">
        <f ca="1">Table_3[[#This Row],[Price of One Product]]*Table_3[[#This Row],[No of Products in one Sale]]*(1-Table_3[[#This Row],[Discount]])</f>
        <v>210.36174535749717</v>
      </c>
      <c r="O670">
        <v>143.8830094033072</v>
      </c>
      <c r="P670">
        <v>3.0059703651484693E-2</v>
      </c>
    </row>
    <row r="671" spans="1:16" ht="14.25" customHeight="1">
      <c r="A671" s="1" t="s">
        <v>756</v>
      </c>
      <c r="B671" s="1" t="s">
        <v>883</v>
      </c>
      <c r="C671" s="3">
        <v>44771</v>
      </c>
      <c r="D671" s="1" t="s">
        <v>895</v>
      </c>
      <c r="E671" s="1" t="s">
        <v>896</v>
      </c>
      <c r="F671" s="1">
        <v>72</v>
      </c>
      <c r="G671" s="1" t="s">
        <v>2</v>
      </c>
      <c r="H671" s="4">
        <v>10</v>
      </c>
      <c r="I671" s="5">
        <f t="shared" ca="1" si="0"/>
        <v>0.30105184839324639</v>
      </c>
      <c r="J671">
        <f ca="1">Table_3[[#This Row],[Price of One Product]]*Table_3[[#This Row],[No of Products in one Sale]]*(1-Table_3[[#This Row],[Discount]])</f>
        <v>503.24266915686258</v>
      </c>
      <c r="O671">
        <v>75.673654769371907</v>
      </c>
      <c r="P671">
        <v>0.60283263082776184</v>
      </c>
    </row>
    <row r="672" spans="1:16" ht="14.25" customHeight="1">
      <c r="A672" s="1" t="s">
        <v>757</v>
      </c>
      <c r="B672" s="1" t="s">
        <v>884</v>
      </c>
      <c r="C672" s="3">
        <v>44794</v>
      </c>
      <c r="D672" s="1" t="s">
        <v>897</v>
      </c>
      <c r="E672" s="1" t="s">
        <v>896</v>
      </c>
      <c r="F672" s="1">
        <v>65</v>
      </c>
      <c r="G672" s="1" t="s">
        <v>3</v>
      </c>
      <c r="H672" s="4">
        <v>8</v>
      </c>
      <c r="I672" s="5">
        <f t="shared" ca="1" si="0"/>
        <v>0.27591035059968982</v>
      </c>
      <c r="J672">
        <f ca="1">Table_3[[#This Row],[Price of One Product]]*Table_3[[#This Row],[No of Products in one Sale]]*(1-Table_3[[#This Row],[Discount]])</f>
        <v>376.52661768816131</v>
      </c>
      <c r="O672">
        <v>519.55123530748051</v>
      </c>
      <c r="P672">
        <v>0.28049469078976996</v>
      </c>
    </row>
    <row r="673" spans="1:16" ht="14.25" customHeight="1">
      <c r="A673" s="1" t="s">
        <v>758</v>
      </c>
      <c r="B673" s="1" t="s">
        <v>885</v>
      </c>
      <c r="C673" s="3">
        <v>44792</v>
      </c>
      <c r="D673" s="1" t="s">
        <v>899</v>
      </c>
      <c r="E673" s="1" t="s">
        <v>896</v>
      </c>
      <c r="F673" s="1">
        <v>250</v>
      </c>
      <c r="G673" s="1" t="s">
        <v>1</v>
      </c>
      <c r="H673" s="4">
        <v>2</v>
      </c>
      <c r="I673" s="5">
        <f t="shared" ca="1" si="0"/>
        <v>1.9417605137540761E-2</v>
      </c>
      <c r="J673">
        <f ca="1">Table_3[[#This Row],[Price of One Product]]*Table_3[[#This Row],[No of Products in one Sale]]*(1-Table_3[[#This Row],[Discount]])</f>
        <v>490.29119743122965</v>
      </c>
      <c r="O673">
        <v>418.12565742534468</v>
      </c>
      <c r="P673">
        <v>2.4594358962910956E-2</v>
      </c>
    </row>
    <row r="674" spans="1:16" ht="14.25" customHeight="1">
      <c r="A674" s="1" t="s">
        <v>759</v>
      </c>
      <c r="B674" s="1" t="s">
        <v>886</v>
      </c>
      <c r="C674" s="3">
        <v>44792</v>
      </c>
      <c r="D674" s="1" t="s">
        <v>900</v>
      </c>
      <c r="E674" s="1" t="s">
        <v>896</v>
      </c>
      <c r="F674" s="1">
        <v>130</v>
      </c>
      <c r="G674" s="1" t="s">
        <v>2</v>
      </c>
      <c r="H674" s="4">
        <v>2</v>
      </c>
      <c r="I674" s="5">
        <f t="shared" ca="1" si="0"/>
        <v>0.61463198093865534</v>
      </c>
      <c r="J674">
        <f ca="1">Table_3[[#This Row],[Price of One Product]]*Table_3[[#This Row],[No of Products in one Sale]]*(1-Table_3[[#This Row],[Discount]])</f>
        <v>100.19568495594962</v>
      </c>
      <c r="O674">
        <v>57.100357091314216</v>
      </c>
      <c r="P674">
        <v>0.17960038149566582</v>
      </c>
    </row>
    <row r="675" spans="1:16" ht="14.25" customHeight="1">
      <c r="A675" s="1" t="s">
        <v>760</v>
      </c>
      <c r="B675" s="1" t="s">
        <v>887</v>
      </c>
      <c r="C675" s="3">
        <v>44790</v>
      </c>
      <c r="D675" s="1" t="s">
        <v>901</v>
      </c>
      <c r="E675" s="1" t="s">
        <v>898</v>
      </c>
      <c r="F675" s="1">
        <v>60</v>
      </c>
      <c r="G675" s="1" t="s">
        <v>3</v>
      </c>
      <c r="H675" s="4">
        <v>14</v>
      </c>
      <c r="I675" s="5">
        <f t="shared" ca="1" si="0"/>
        <v>0.51808589703855956</v>
      </c>
      <c r="J675">
        <f ca="1">Table_3[[#This Row],[Price of One Product]]*Table_3[[#This Row],[No of Products in one Sale]]*(1-Table_3[[#This Row],[Discount]])</f>
        <v>404.80784648760999</v>
      </c>
      <c r="O675">
        <v>706.38678335889335</v>
      </c>
      <c r="P675">
        <v>0.88716797574761352</v>
      </c>
    </row>
    <row r="676" spans="1:16" ht="14.25" customHeight="1">
      <c r="A676" s="1" t="s">
        <v>761</v>
      </c>
      <c r="B676" s="1" t="s">
        <v>888</v>
      </c>
      <c r="C676" s="3">
        <v>44809</v>
      </c>
      <c r="D676" s="1" t="s">
        <v>902</v>
      </c>
      <c r="E676" s="1" t="s">
        <v>896</v>
      </c>
      <c r="F676" s="1">
        <v>95</v>
      </c>
      <c r="G676" s="1" t="s">
        <v>1</v>
      </c>
      <c r="H676" s="4">
        <v>3</v>
      </c>
      <c r="I676" s="5">
        <f t="shared" ca="1" si="0"/>
        <v>0.61797843278105236</v>
      </c>
      <c r="J676">
        <f ca="1">Table_3[[#This Row],[Price of One Product]]*Table_3[[#This Row],[No of Products in one Sale]]*(1-Table_3[[#This Row],[Discount]])</f>
        <v>108.87614665740008</v>
      </c>
      <c r="O676">
        <v>94.828984419555894</v>
      </c>
      <c r="P676">
        <v>0.76481684470570499</v>
      </c>
    </row>
    <row r="677" spans="1:16" ht="14.25" customHeight="1">
      <c r="A677" s="1" t="s">
        <v>762</v>
      </c>
      <c r="B677" s="1" t="s">
        <v>883</v>
      </c>
      <c r="C677" s="3">
        <v>44772</v>
      </c>
      <c r="D677" s="1" t="s">
        <v>895</v>
      </c>
      <c r="E677" s="1" t="s">
        <v>896</v>
      </c>
      <c r="F677" s="1">
        <v>72</v>
      </c>
      <c r="G677" s="1" t="s">
        <v>2</v>
      </c>
      <c r="H677" s="4">
        <v>6</v>
      </c>
      <c r="I677" s="5">
        <f t="shared" ca="1" si="0"/>
        <v>0.31375700038899912</v>
      </c>
      <c r="J677">
        <f ca="1">Table_3[[#This Row],[Price of One Product]]*Table_3[[#This Row],[No of Products in one Sale]]*(1-Table_3[[#This Row],[Discount]])</f>
        <v>296.45697583195238</v>
      </c>
      <c r="O677">
        <v>64.751892241598881</v>
      </c>
      <c r="P677">
        <v>0.83479355012909184</v>
      </c>
    </row>
    <row r="678" spans="1:16" ht="14.25" customHeight="1">
      <c r="A678" s="1" t="s">
        <v>763</v>
      </c>
      <c r="B678" s="1" t="s">
        <v>884</v>
      </c>
      <c r="C678" s="3">
        <v>44802</v>
      </c>
      <c r="D678" s="1" t="s">
        <v>897</v>
      </c>
      <c r="E678" s="1" t="s">
        <v>896</v>
      </c>
      <c r="F678" s="1">
        <v>65</v>
      </c>
      <c r="G678" s="1" t="s">
        <v>3</v>
      </c>
      <c r="H678" s="4">
        <v>12</v>
      </c>
      <c r="I678" s="5">
        <f t="shared" ca="1" si="0"/>
        <v>0.71120971287552293</v>
      </c>
      <c r="J678">
        <f ca="1">Table_3[[#This Row],[Price of One Product]]*Table_3[[#This Row],[No of Products in one Sale]]*(1-Table_3[[#This Row],[Discount]])</f>
        <v>225.25642395709212</v>
      </c>
      <c r="O678">
        <v>657.67478975877873</v>
      </c>
      <c r="P678">
        <v>0.27381996094824212</v>
      </c>
    </row>
    <row r="679" spans="1:16" ht="14.25" customHeight="1">
      <c r="A679" s="1" t="s">
        <v>764</v>
      </c>
      <c r="B679" s="1" t="s">
        <v>885</v>
      </c>
      <c r="C679" s="3">
        <v>44809</v>
      </c>
      <c r="D679" s="1" t="s">
        <v>899</v>
      </c>
      <c r="E679" s="1" t="s">
        <v>898</v>
      </c>
      <c r="F679" s="1">
        <v>250</v>
      </c>
      <c r="G679" s="1" t="s">
        <v>1</v>
      </c>
      <c r="H679" s="4">
        <v>2</v>
      </c>
      <c r="I679" s="5">
        <f t="shared" ca="1" si="0"/>
        <v>0.92941210743219804</v>
      </c>
      <c r="J679">
        <f ca="1">Table_3[[#This Row],[Price of One Product]]*Table_3[[#This Row],[No of Products in one Sale]]*(1-Table_3[[#This Row],[Discount]])</f>
        <v>35.293946283900979</v>
      </c>
      <c r="O679">
        <v>224.89305940284149</v>
      </c>
      <c r="P679">
        <v>0.31431432819097682</v>
      </c>
    </row>
    <row r="680" spans="1:16" ht="14.25" customHeight="1">
      <c r="A680" s="1" t="s">
        <v>765</v>
      </c>
      <c r="B680" s="1" t="s">
        <v>886</v>
      </c>
      <c r="C680" s="3">
        <v>44793</v>
      </c>
      <c r="D680" s="1" t="s">
        <v>900</v>
      </c>
      <c r="E680" s="1" t="s">
        <v>898</v>
      </c>
      <c r="F680" s="1">
        <v>130</v>
      </c>
      <c r="G680" s="1" t="s">
        <v>2</v>
      </c>
      <c r="H680" s="4">
        <v>2</v>
      </c>
      <c r="I680" s="5">
        <f t="shared" ca="1" si="0"/>
        <v>0.15194815340725998</v>
      </c>
      <c r="J680">
        <f ca="1">Table_3[[#This Row],[Price of One Product]]*Table_3[[#This Row],[No of Products in one Sale]]*(1-Table_3[[#This Row],[Discount]])</f>
        <v>220.4934801141124</v>
      </c>
      <c r="O680">
        <v>62.592853856879728</v>
      </c>
      <c r="P680">
        <v>0.11848419479406358</v>
      </c>
    </row>
    <row r="681" spans="1:16" ht="14.25" customHeight="1">
      <c r="A681" s="1" t="s">
        <v>766</v>
      </c>
      <c r="B681" s="1" t="s">
        <v>883</v>
      </c>
      <c r="C681" s="3">
        <v>44802</v>
      </c>
      <c r="D681" s="1" t="s">
        <v>895</v>
      </c>
      <c r="E681" s="1" t="s">
        <v>898</v>
      </c>
      <c r="F681" s="1">
        <v>72</v>
      </c>
      <c r="G681" s="1" t="s">
        <v>3</v>
      </c>
      <c r="H681" s="4">
        <v>8</v>
      </c>
      <c r="I681" s="5">
        <f t="shared" ca="1" si="0"/>
        <v>0.67111602128451042</v>
      </c>
      <c r="J681">
        <f ca="1">Table_3[[#This Row],[Price of One Product]]*Table_3[[#This Row],[No of Products in one Sale]]*(1-Table_3[[#This Row],[Discount]])</f>
        <v>189.43717174012198</v>
      </c>
      <c r="O681">
        <v>379.81740615450741</v>
      </c>
      <c r="P681">
        <v>0.5450274550809866</v>
      </c>
    </row>
    <row r="682" spans="1:16" ht="14.25" customHeight="1">
      <c r="A682" s="1" t="s">
        <v>767</v>
      </c>
      <c r="B682" s="1" t="s">
        <v>884</v>
      </c>
      <c r="C682" s="3">
        <v>44766</v>
      </c>
      <c r="D682" s="1" t="s">
        <v>897</v>
      </c>
      <c r="E682" s="1" t="s">
        <v>898</v>
      </c>
      <c r="F682" s="1">
        <v>65</v>
      </c>
      <c r="G682" s="1" t="s">
        <v>1</v>
      </c>
      <c r="H682" s="4">
        <v>10</v>
      </c>
      <c r="I682" s="5">
        <f t="shared" ca="1" si="0"/>
        <v>0.24972402612351208</v>
      </c>
      <c r="J682">
        <f ca="1">Table_3[[#This Row],[Price of One Product]]*Table_3[[#This Row],[No of Products in one Sale]]*(1-Table_3[[#This Row],[Discount]])</f>
        <v>487.67938301971714</v>
      </c>
      <c r="O682">
        <v>581.65263785609193</v>
      </c>
      <c r="P682">
        <v>0.51724606195492373</v>
      </c>
    </row>
    <row r="683" spans="1:16" ht="14.25" customHeight="1">
      <c r="A683" s="1" t="s">
        <v>768</v>
      </c>
      <c r="B683" s="1" t="s">
        <v>885</v>
      </c>
      <c r="C683" s="3">
        <v>44807</v>
      </c>
      <c r="D683" s="1" t="s">
        <v>899</v>
      </c>
      <c r="E683" s="1" t="s">
        <v>898</v>
      </c>
      <c r="F683" s="1">
        <v>250</v>
      </c>
      <c r="G683" s="1" t="s">
        <v>2</v>
      </c>
      <c r="H683" s="4">
        <v>3</v>
      </c>
      <c r="I683" s="5">
        <f t="shared" ca="1" si="0"/>
        <v>0.71549900342473061</v>
      </c>
      <c r="J683">
        <f ca="1">Table_3[[#This Row],[Price of One Product]]*Table_3[[#This Row],[No of Products in one Sale]]*(1-Table_3[[#This Row],[Discount]])</f>
        <v>213.37574743145206</v>
      </c>
      <c r="O683">
        <v>389.08556458528506</v>
      </c>
      <c r="P683">
        <v>0.70257745835487151</v>
      </c>
    </row>
    <row r="684" spans="1:16" ht="14.25" customHeight="1">
      <c r="A684" s="1" t="s">
        <v>769</v>
      </c>
      <c r="B684" s="1" t="s">
        <v>886</v>
      </c>
      <c r="C684" s="3">
        <v>44784</v>
      </c>
      <c r="D684" s="1" t="s">
        <v>900</v>
      </c>
      <c r="E684" s="1" t="s">
        <v>898</v>
      </c>
      <c r="F684" s="1">
        <v>130</v>
      </c>
      <c r="G684" s="1" t="s">
        <v>3</v>
      </c>
      <c r="H684" s="4">
        <v>7</v>
      </c>
      <c r="I684" s="5">
        <f t="shared" ca="1" si="0"/>
        <v>0.82464062543391259</v>
      </c>
      <c r="J684">
        <f ca="1">Table_3[[#This Row],[Price of One Product]]*Table_3[[#This Row],[No of Products in one Sale]]*(1-Table_3[[#This Row],[Discount]])</f>
        <v>159.57703085513955</v>
      </c>
      <c r="O684">
        <v>733.56833065230035</v>
      </c>
      <c r="P684">
        <v>0.45534927141077464</v>
      </c>
    </row>
    <row r="685" spans="1:16" ht="14.25" customHeight="1">
      <c r="A685" s="1" t="s">
        <v>770</v>
      </c>
      <c r="B685" s="1" t="s">
        <v>883</v>
      </c>
      <c r="C685" s="3">
        <v>44763</v>
      </c>
      <c r="D685" s="1" t="s">
        <v>895</v>
      </c>
      <c r="E685" s="1" t="s">
        <v>896</v>
      </c>
      <c r="F685" s="1">
        <v>72</v>
      </c>
      <c r="G685" s="1" t="s">
        <v>3</v>
      </c>
      <c r="H685" s="4">
        <v>10</v>
      </c>
      <c r="I685" s="5">
        <f t="shared" ca="1" si="0"/>
        <v>0.54444850690441404</v>
      </c>
      <c r="J685">
        <f ca="1">Table_3[[#This Row],[Price of One Product]]*Table_3[[#This Row],[No of Products in one Sale]]*(1-Table_3[[#This Row],[Discount]])</f>
        <v>327.99707502882188</v>
      </c>
      <c r="O685">
        <v>579.9353694497039</v>
      </c>
      <c r="P685">
        <v>0.40001117688865384</v>
      </c>
    </row>
    <row r="686" spans="1:16" ht="14.25" customHeight="1">
      <c r="A686" s="1" t="s">
        <v>771</v>
      </c>
      <c r="B686" s="1" t="s">
        <v>884</v>
      </c>
      <c r="C686" s="3">
        <v>44799</v>
      </c>
      <c r="D686" s="1" t="s">
        <v>897</v>
      </c>
      <c r="E686" s="1" t="s">
        <v>898</v>
      </c>
      <c r="F686" s="1">
        <v>65</v>
      </c>
      <c r="G686" s="1" t="s">
        <v>1</v>
      </c>
      <c r="H686" s="4">
        <v>13</v>
      </c>
      <c r="I686" s="5">
        <f t="shared" ca="1" si="0"/>
        <v>0.3300666305041936</v>
      </c>
      <c r="J686">
        <f ca="1">Table_3[[#This Row],[Price of One Product]]*Table_3[[#This Row],[No of Products in one Sale]]*(1-Table_3[[#This Row],[Discount]])</f>
        <v>566.09369722395638</v>
      </c>
      <c r="O686">
        <v>248.30298483589436</v>
      </c>
      <c r="P686">
        <v>3.3546543784761851E-2</v>
      </c>
    </row>
    <row r="687" spans="1:16" ht="14.25" customHeight="1">
      <c r="A687" s="1" t="s">
        <v>772</v>
      </c>
      <c r="B687" s="1" t="s">
        <v>885</v>
      </c>
      <c r="C687" s="3">
        <v>44808</v>
      </c>
      <c r="D687" s="1" t="s">
        <v>899</v>
      </c>
      <c r="E687" s="1" t="s">
        <v>896</v>
      </c>
      <c r="F687" s="1">
        <v>250</v>
      </c>
      <c r="G687" s="1" t="s">
        <v>2</v>
      </c>
      <c r="H687" s="4">
        <v>1</v>
      </c>
      <c r="I687" s="5">
        <f t="shared" ca="1" si="0"/>
        <v>0.88145545571274253</v>
      </c>
      <c r="J687">
        <f ca="1">Table_3[[#This Row],[Price of One Product]]*Table_3[[#This Row],[No of Products in one Sale]]*(1-Table_3[[#This Row],[Discount]])</f>
        <v>29.636136071814366</v>
      </c>
      <c r="O687">
        <v>27.588530258242177</v>
      </c>
      <c r="P687">
        <v>0.10546983710641911</v>
      </c>
    </row>
    <row r="688" spans="1:16" ht="14.25" customHeight="1">
      <c r="A688" s="1" t="s">
        <v>773</v>
      </c>
      <c r="B688" s="1" t="s">
        <v>886</v>
      </c>
      <c r="C688" s="3">
        <v>44786</v>
      </c>
      <c r="D688" s="1" t="s">
        <v>900</v>
      </c>
      <c r="E688" s="1" t="s">
        <v>898</v>
      </c>
      <c r="F688" s="1">
        <v>130</v>
      </c>
      <c r="G688" s="1" t="s">
        <v>3</v>
      </c>
      <c r="H688" s="4">
        <v>2</v>
      </c>
      <c r="I688" s="5">
        <f t="shared" ca="1" si="0"/>
        <v>0.44374348688078391</v>
      </c>
      <c r="J688">
        <f ca="1">Table_3[[#This Row],[Price of One Product]]*Table_3[[#This Row],[No of Products in one Sale]]*(1-Table_3[[#This Row],[Discount]])</f>
        <v>144.62669341099618</v>
      </c>
      <c r="O688">
        <v>132.59391560969911</v>
      </c>
      <c r="P688">
        <v>0.19231557472596228</v>
      </c>
    </row>
    <row r="689" spans="1:16" ht="14.25" customHeight="1">
      <c r="A689" s="1" t="s">
        <v>774</v>
      </c>
      <c r="B689" s="1" t="s">
        <v>883</v>
      </c>
      <c r="C689" s="3">
        <v>44770</v>
      </c>
      <c r="D689" s="1" t="s">
        <v>895</v>
      </c>
      <c r="E689" s="1" t="s">
        <v>896</v>
      </c>
      <c r="F689" s="1">
        <v>72</v>
      </c>
      <c r="G689" s="1" t="s">
        <v>1</v>
      </c>
      <c r="H689" s="4">
        <v>10</v>
      </c>
      <c r="I689" s="5">
        <f t="shared" ca="1" si="0"/>
        <v>0.16139125161209023</v>
      </c>
      <c r="J689">
        <f ca="1">Table_3[[#This Row],[Price of One Product]]*Table_3[[#This Row],[No of Products in one Sale]]*(1-Table_3[[#This Row],[Discount]])</f>
        <v>603.79829883929506</v>
      </c>
      <c r="O689">
        <v>354.30632649708525</v>
      </c>
      <c r="P689">
        <v>0.11642156974269913</v>
      </c>
    </row>
    <row r="690" spans="1:16" ht="14.25" customHeight="1">
      <c r="A690" s="1" t="s">
        <v>775</v>
      </c>
      <c r="B690" s="1" t="s">
        <v>884</v>
      </c>
      <c r="C690" s="3">
        <v>44777</v>
      </c>
      <c r="D690" s="1" t="s">
        <v>897</v>
      </c>
      <c r="E690" s="1" t="s">
        <v>898</v>
      </c>
      <c r="F690" s="1">
        <v>65</v>
      </c>
      <c r="G690" s="1" t="s">
        <v>2</v>
      </c>
      <c r="H690" s="4">
        <v>4</v>
      </c>
      <c r="I690" s="5">
        <f t="shared" ca="1" si="0"/>
        <v>0.27949824323321582</v>
      </c>
      <c r="J690">
        <f ca="1">Table_3[[#This Row],[Price of One Product]]*Table_3[[#This Row],[No of Products in one Sale]]*(1-Table_3[[#This Row],[Discount]])</f>
        <v>187.3304567593639</v>
      </c>
      <c r="O690">
        <v>65.897731982979423</v>
      </c>
      <c r="P690">
        <v>0.49407369076346741</v>
      </c>
    </row>
    <row r="691" spans="1:16" ht="14.25" customHeight="1">
      <c r="A691" s="1" t="s">
        <v>776</v>
      </c>
      <c r="B691" s="1" t="s">
        <v>885</v>
      </c>
      <c r="C691" s="3">
        <v>44780</v>
      </c>
      <c r="D691" s="1" t="s">
        <v>899</v>
      </c>
      <c r="E691" s="1" t="s">
        <v>896</v>
      </c>
      <c r="F691" s="1">
        <v>250</v>
      </c>
      <c r="G691" s="1" t="s">
        <v>3</v>
      </c>
      <c r="H691" s="4">
        <v>3</v>
      </c>
      <c r="I691" s="5">
        <f t="shared" ca="1" si="0"/>
        <v>0.88356801833453402</v>
      </c>
      <c r="J691">
        <f ca="1">Table_3[[#This Row],[Price of One Product]]*Table_3[[#This Row],[No of Products in one Sale]]*(1-Table_3[[#This Row],[Discount]])</f>
        <v>87.323986249099477</v>
      </c>
      <c r="O691">
        <v>624.87573471783867</v>
      </c>
      <c r="P691">
        <v>0.19899878264774151</v>
      </c>
    </row>
    <row r="692" spans="1:16" ht="14.25" customHeight="1">
      <c r="A692" s="1" t="s">
        <v>777</v>
      </c>
      <c r="B692" s="1" t="s">
        <v>886</v>
      </c>
      <c r="C692" s="3">
        <v>44778</v>
      </c>
      <c r="D692" s="1" t="s">
        <v>900</v>
      </c>
      <c r="E692" s="1" t="s">
        <v>898</v>
      </c>
      <c r="F692" s="1">
        <v>130</v>
      </c>
      <c r="G692" s="1" t="s">
        <v>1</v>
      </c>
      <c r="H692" s="4">
        <v>4</v>
      </c>
      <c r="I692" s="5">
        <f t="shared" ca="1" si="0"/>
        <v>0.93562069816133853</v>
      </c>
      <c r="J692">
        <f ca="1">Table_3[[#This Row],[Price of One Product]]*Table_3[[#This Row],[No of Products in one Sale]]*(1-Table_3[[#This Row],[Discount]])</f>
        <v>33.477236956103965</v>
      </c>
      <c r="O692">
        <v>444.35454391780303</v>
      </c>
      <c r="P692">
        <v>0.82151406170780472</v>
      </c>
    </row>
    <row r="693" spans="1:16" ht="14.25" customHeight="1">
      <c r="A693" s="1" t="s">
        <v>778</v>
      </c>
      <c r="B693" s="1" t="s">
        <v>887</v>
      </c>
      <c r="C693" s="3">
        <v>44774</v>
      </c>
      <c r="D693" s="1" t="s">
        <v>901</v>
      </c>
      <c r="E693" s="1" t="s">
        <v>896</v>
      </c>
      <c r="F693" s="1">
        <v>60</v>
      </c>
      <c r="G693" s="1" t="s">
        <v>2</v>
      </c>
      <c r="H693" s="4">
        <v>13</v>
      </c>
      <c r="I693" s="5">
        <f t="shared" ca="1" si="0"/>
        <v>0.42491943622286876</v>
      </c>
      <c r="J693">
        <f ca="1">Table_3[[#This Row],[Price of One Product]]*Table_3[[#This Row],[No of Products in one Sale]]*(1-Table_3[[#This Row],[Discount]])</f>
        <v>448.56283974616235</v>
      </c>
      <c r="O693">
        <v>212.36357884454193</v>
      </c>
      <c r="P693">
        <v>0.56783685136332174</v>
      </c>
    </row>
    <row r="694" spans="1:16" ht="14.25" customHeight="1">
      <c r="A694" s="1" t="s">
        <v>779</v>
      </c>
      <c r="B694" s="1" t="s">
        <v>883</v>
      </c>
      <c r="C694" s="3">
        <v>44760</v>
      </c>
      <c r="D694" s="1" t="s">
        <v>895</v>
      </c>
      <c r="E694" s="1" t="s">
        <v>898</v>
      </c>
      <c r="F694" s="1">
        <v>72</v>
      </c>
      <c r="G694" s="1" t="s">
        <v>3</v>
      </c>
      <c r="H694" s="4">
        <v>3</v>
      </c>
      <c r="I694" s="5">
        <f t="shared" ca="1" si="0"/>
        <v>0.57746086126030793</v>
      </c>
      <c r="J694">
        <f ca="1">Table_3[[#This Row],[Price of One Product]]*Table_3[[#This Row],[No of Products in one Sale]]*(1-Table_3[[#This Row],[Discount]])</f>
        <v>91.268453967773482</v>
      </c>
      <c r="O694">
        <v>74.928664514699932</v>
      </c>
      <c r="P694">
        <v>0.44578378259140883</v>
      </c>
    </row>
    <row r="695" spans="1:16" ht="14.25" customHeight="1">
      <c r="A695" s="1" t="s">
        <v>780</v>
      </c>
      <c r="B695" s="1" t="s">
        <v>884</v>
      </c>
      <c r="C695" s="3">
        <v>44756</v>
      </c>
      <c r="D695" s="1" t="s">
        <v>897</v>
      </c>
      <c r="E695" s="1" t="s">
        <v>896</v>
      </c>
      <c r="F695" s="1">
        <v>65</v>
      </c>
      <c r="G695" s="1" t="s">
        <v>1</v>
      </c>
      <c r="H695" s="4">
        <v>9</v>
      </c>
      <c r="I695" s="5">
        <f t="shared" ca="1" si="0"/>
        <v>0.364803319385131</v>
      </c>
      <c r="J695">
        <f ca="1">Table_3[[#This Row],[Price of One Product]]*Table_3[[#This Row],[No of Products in one Sale]]*(1-Table_3[[#This Row],[Discount]])</f>
        <v>371.59005815969834</v>
      </c>
      <c r="O695">
        <v>408.69577242606829</v>
      </c>
      <c r="P695">
        <v>0.39052004870991686</v>
      </c>
    </row>
    <row r="696" spans="1:16" ht="14.25" customHeight="1">
      <c r="A696" s="1" t="s">
        <v>781</v>
      </c>
      <c r="B696" s="1" t="s">
        <v>885</v>
      </c>
      <c r="C696" s="3">
        <v>44755</v>
      </c>
      <c r="D696" s="1" t="s">
        <v>899</v>
      </c>
      <c r="E696" s="1" t="s">
        <v>898</v>
      </c>
      <c r="F696" s="1">
        <v>250</v>
      </c>
      <c r="G696" s="1" t="s">
        <v>2</v>
      </c>
      <c r="H696" s="4">
        <v>3</v>
      </c>
      <c r="I696" s="5">
        <f t="shared" ca="1" si="0"/>
        <v>0.847514987085349</v>
      </c>
      <c r="J696">
        <f ca="1">Table_3[[#This Row],[Price of One Product]]*Table_3[[#This Row],[No of Products in one Sale]]*(1-Table_3[[#This Row],[Discount]])</f>
        <v>114.36375968598824</v>
      </c>
      <c r="O696">
        <v>692.58774589968823</v>
      </c>
      <c r="P696">
        <v>0.87381175528791044</v>
      </c>
    </row>
    <row r="697" spans="1:16" ht="14.25" customHeight="1">
      <c r="A697" s="1" t="s">
        <v>782</v>
      </c>
      <c r="B697" s="1" t="s">
        <v>886</v>
      </c>
      <c r="C697" s="3">
        <v>44770</v>
      </c>
      <c r="D697" s="1" t="s">
        <v>900</v>
      </c>
      <c r="E697" s="1" t="s">
        <v>896</v>
      </c>
      <c r="F697" s="1">
        <v>130</v>
      </c>
      <c r="G697" s="1" t="s">
        <v>3</v>
      </c>
      <c r="H697" s="4">
        <v>5</v>
      </c>
      <c r="I697" s="5">
        <f t="shared" ca="1" si="0"/>
        <v>0.6946748770251433</v>
      </c>
      <c r="J697">
        <f ca="1">Table_3[[#This Row],[Price of One Product]]*Table_3[[#This Row],[No of Products in one Sale]]*(1-Table_3[[#This Row],[Discount]])</f>
        <v>198.46132993365686</v>
      </c>
      <c r="O697">
        <v>251.07802581235131</v>
      </c>
      <c r="P697">
        <v>0.26334038869094512</v>
      </c>
    </row>
    <row r="698" spans="1:16" ht="14.25" customHeight="1">
      <c r="A698" s="1" t="s">
        <v>783</v>
      </c>
      <c r="B698" s="1" t="s">
        <v>883</v>
      </c>
      <c r="C698" s="3">
        <v>44755</v>
      </c>
      <c r="D698" s="1" t="s">
        <v>895</v>
      </c>
      <c r="E698" s="1" t="s">
        <v>898</v>
      </c>
      <c r="F698" s="1">
        <v>72</v>
      </c>
      <c r="G698" s="1" t="s">
        <v>1</v>
      </c>
      <c r="H698" s="4">
        <v>9</v>
      </c>
      <c r="I698" s="5">
        <f t="shared" ca="1" si="0"/>
        <v>0.29647052693900477</v>
      </c>
      <c r="J698">
        <f ca="1">Table_3[[#This Row],[Price of One Product]]*Table_3[[#This Row],[No of Products in one Sale]]*(1-Table_3[[#This Row],[Discount]])</f>
        <v>455.88709854352493</v>
      </c>
      <c r="O698">
        <v>420.17514979399715</v>
      </c>
      <c r="P698">
        <v>0.5839058549739311</v>
      </c>
    </row>
    <row r="699" spans="1:16" ht="14.25" customHeight="1">
      <c r="A699" s="1" t="s">
        <v>784</v>
      </c>
      <c r="B699" s="1" t="s">
        <v>884</v>
      </c>
      <c r="C699" s="3">
        <v>44775</v>
      </c>
      <c r="D699" s="1" t="s">
        <v>897</v>
      </c>
      <c r="E699" s="1" t="s">
        <v>896</v>
      </c>
      <c r="F699" s="1">
        <v>65</v>
      </c>
      <c r="G699" s="1" t="s">
        <v>2</v>
      </c>
      <c r="H699" s="4">
        <v>7</v>
      </c>
      <c r="I699" s="5">
        <f t="shared" ca="1" si="0"/>
        <v>0.58087098923689717</v>
      </c>
      <c r="J699">
        <f ca="1">Table_3[[#This Row],[Price of One Product]]*Table_3[[#This Row],[No of Products in one Sale]]*(1-Table_3[[#This Row],[Discount]])</f>
        <v>190.70369989721178</v>
      </c>
      <c r="O699">
        <v>278.91010501563227</v>
      </c>
      <c r="P699">
        <v>0.51688176828971044</v>
      </c>
    </row>
    <row r="700" spans="1:16" ht="14.25" customHeight="1">
      <c r="A700" s="1" t="s">
        <v>785</v>
      </c>
      <c r="B700" s="1" t="s">
        <v>885</v>
      </c>
      <c r="C700" s="3">
        <v>44797</v>
      </c>
      <c r="D700" s="1" t="s">
        <v>899</v>
      </c>
      <c r="E700" s="1" t="s">
        <v>898</v>
      </c>
      <c r="F700" s="1">
        <v>250</v>
      </c>
      <c r="G700" s="1" t="s">
        <v>3</v>
      </c>
      <c r="H700" s="4">
        <v>2</v>
      </c>
      <c r="I700" s="5">
        <f t="shared" ca="1" si="0"/>
        <v>0.63218000705356969</v>
      </c>
      <c r="J700">
        <f ca="1">Table_3[[#This Row],[Price of One Product]]*Table_3[[#This Row],[No of Products in one Sale]]*(1-Table_3[[#This Row],[Discount]])</f>
        <v>183.90999647321516</v>
      </c>
      <c r="O700">
        <v>224.85502915725908</v>
      </c>
      <c r="P700">
        <v>2.1018279527224348E-2</v>
      </c>
    </row>
    <row r="701" spans="1:16" ht="14.25" customHeight="1">
      <c r="A701" s="1" t="s">
        <v>786</v>
      </c>
      <c r="B701" s="1" t="s">
        <v>886</v>
      </c>
      <c r="C701" s="3">
        <v>44802</v>
      </c>
      <c r="D701" s="1" t="s">
        <v>900</v>
      </c>
      <c r="E701" s="1" t="s">
        <v>896</v>
      </c>
      <c r="F701" s="1">
        <v>130</v>
      </c>
      <c r="G701" s="1" t="s">
        <v>1</v>
      </c>
      <c r="H701" s="4">
        <v>7</v>
      </c>
      <c r="I701" s="5">
        <f t="shared" ca="1" si="0"/>
        <v>0.13483563002415422</v>
      </c>
      <c r="J701">
        <f ca="1">Table_3[[#This Row],[Price of One Product]]*Table_3[[#This Row],[No of Products in one Sale]]*(1-Table_3[[#This Row],[Discount]])</f>
        <v>787.29957667801966</v>
      </c>
      <c r="O701">
        <v>672.56713091153642</v>
      </c>
      <c r="P701">
        <v>0.99398607628106539</v>
      </c>
    </row>
    <row r="702" spans="1:16" ht="14.25" customHeight="1">
      <c r="A702" s="1" t="s">
        <v>787</v>
      </c>
      <c r="B702" s="1" t="s">
        <v>887</v>
      </c>
      <c r="C702" s="3">
        <v>44764</v>
      </c>
      <c r="D702" s="1" t="s">
        <v>901</v>
      </c>
      <c r="E702" s="1" t="s">
        <v>896</v>
      </c>
      <c r="F702" s="1">
        <v>60</v>
      </c>
      <c r="G702" s="1" t="s">
        <v>2</v>
      </c>
      <c r="H702" s="4">
        <v>8</v>
      </c>
      <c r="I702" s="5">
        <f t="shared" ca="1" si="0"/>
        <v>0.19342542257819406</v>
      </c>
      <c r="J702">
        <f ca="1">Table_3[[#This Row],[Price of One Product]]*Table_3[[#This Row],[No of Products in one Sale]]*(1-Table_3[[#This Row],[Discount]])</f>
        <v>387.15579716246685</v>
      </c>
      <c r="O702">
        <v>99.297912665981372</v>
      </c>
      <c r="P702">
        <v>0.94078568520880934</v>
      </c>
    </row>
    <row r="703" spans="1:16" ht="14.25" customHeight="1">
      <c r="A703" s="1" t="s">
        <v>788</v>
      </c>
      <c r="B703" s="1" t="s">
        <v>888</v>
      </c>
      <c r="C703" s="3">
        <v>44780</v>
      </c>
      <c r="D703" s="1" t="s">
        <v>902</v>
      </c>
      <c r="E703" s="1" t="s">
        <v>898</v>
      </c>
      <c r="F703" s="1">
        <v>95</v>
      </c>
      <c r="G703" s="1" t="s">
        <v>3</v>
      </c>
      <c r="H703" s="4">
        <v>2</v>
      </c>
      <c r="I703" s="5">
        <f t="shared" ca="1" si="0"/>
        <v>0.47132898784314115</v>
      </c>
      <c r="J703">
        <f ca="1">Table_3[[#This Row],[Price of One Product]]*Table_3[[#This Row],[No of Products in one Sale]]*(1-Table_3[[#This Row],[Discount]])</f>
        <v>100.44749230980318</v>
      </c>
      <c r="O703">
        <v>19.994683350362948</v>
      </c>
      <c r="P703">
        <v>0.60272293111912145</v>
      </c>
    </row>
    <row r="704" spans="1:16" ht="14.25" customHeight="1">
      <c r="A704" s="1" t="s">
        <v>789</v>
      </c>
      <c r="B704" s="1" t="s">
        <v>883</v>
      </c>
      <c r="C704" s="3">
        <v>44799</v>
      </c>
      <c r="D704" s="1" t="s">
        <v>895</v>
      </c>
      <c r="E704" s="1" t="s">
        <v>898</v>
      </c>
      <c r="F704" s="1">
        <v>72</v>
      </c>
      <c r="G704" s="1" t="s">
        <v>1</v>
      </c>
      <c r="H704" s="4">
        <v>5</v>
      </c>
      <c r="I704" s="5">
        <f t="shared" ca="1" si="0"/>
        <v>0.64360723753011306</v>
      </c>
      <c r="J704">
        <f ca="1">Table_3[[#This Row],[Price of One Product]]*Table_3[[#This Row],[No of Products in one Sale]]*(1-Table_3[[#This Row],[Discount]])</f>
        <v>128.30139448915929</v>
      </c>
      <c r="O704">
        <v>134.78900627974406</v>
      </c>
      <c r="P704">
        <v>0.50203827111767019</v>
      </c>
    </row>
    <row r="705" spans="1:16" ht="14.25" customHeight="1">
      <c r="A705" s="1" t="s">
        <v>790</v>
      </c>
      <c r="B705" s="1" t="s">
        <v>884</v>
      </c>
      <c r="C705" s="3">
        <v>44761</v>
      </c>
      <c r="D705" s="1" t="s">
        <v>897</v>
      </c>
      <c r="E705" s="1" t="s">
        <v>898</v>
      </c>
      <c r="F705" s="1">
        <v>65</v>
      </c>
      <c r="G705" s="1" t="s">
        <v>2</v>
      </c>
      <c r="H705" s="4">
        <v>13</v>
      </c>
      <c r="I705" s="5">
        <f t="shared" ca="1" si="0"/>
        <v>0.12220442816954546</v>
      </c>
      <c r="J705">
        <f ca="1">Table_3[[#This Row],[Price of One Product]]*Table_3[[#This Row],[No of Products in one Sale]]*(1-Table_3[[#This Row],[Discount]])</f>
        <v>741.73725819673405</v>
      </c>
      <c r="O705">
        <v>62.274465378293833</v>
      </c>
      <c r="P705">
        <v>0.87733166737516333</v>
      </c>
    </row>
    <row r="706" spans="1:16" ht="14.25" customHeight="1">
      <c r="A706" s="1" t="s">
        <v>791</v>
      </c>
      <c r="B706" s="1" t="s">
        <v>885</v>
      </c>
      <c r="C706" s="3">
        <v>44782</v>
      </c>
      <c r="D706" s="1" t="s">
        <v>899</v>
      </c>
      <c r="E706" s="1" t="s">
        <v>896</v>
      </c>
      <c r="F706" s="1">
        <v>250</v>
      </c>
      <c r="G706" s="1" t="s">
        <v>3</v>
      </c>
      <c r="H706" s="4">
        <v>3</v>
      </c>
      <c r="I706" s="5">
        <f t="shared" ca="1" si="0"/>
        <v>3.1116299266429004E-2</v>
      </c>
      <c r="J706">
        <f ca="1">Table_3[[#This Row],[Price of One Product]]*Table_3[[#This Row],[No of Products in one Sale]]*(1-Table_3[[#This Row],[Discount]])</f>
        <v>726.66277555017825</v>
      </c>
      <c r="O706">
        <v>692.98515094703669</v>
      </c>
      <c r="P706">
        <v>0.55882210316614245</v>
      </c>
    </row>
    <row r="707" spans="1:16" ht="14.25" customHeight="1">
      <c r="A707" s="1" t="s">
        <v>792</v>
      </c>
      <c r="B707" s="1" t="s">
        <v>886</v>
      </c>
      <c r="C707" s="3">
        <v>44806</v>
      </c>
      <c r="D707" s="1" t="s">
        <v>900</v>
      </c>
      <c r="E707" s="1" t="s">
        <v>896</v>
      </c>
      <c r="F707" s="1">
        <v>130</v>
      </c>
      <c r="G707" s="1" t="s">
        <v>1</v>
      </c>
      <c r="H707" s="4">
        <v>2</v>
      </c>
      <c r="I707" s="5">
        <f t="shared" ca="1" si="0"/>
        <v>0.24074414960812995</v>
      </c>
      <c r="J707">
        <f ca="1">Table_3[[#This Row],[Price of One Product]]*Table_3[[#This Row],[No of Products in one Sale]]*(1-Table_3[[#This Row],[Discount]])</f>
        <v>197.4065211018862</v>
      </c>
      <c r="O707">
        <v>66.354970055050643</v>
      </c>
      <c r="P707">
        <v>6.3841163446259896E-3</v>
      </c>
    </row>
    <row r="708" spans="1:16" ht="14.25" customHeight="1">
      <c r="A708" s="1" t="s">
        <v>793</v>
      </c>
      <c r="B708" s="1" t="s">
        <v>883</v>
      </c>
      <c r="C708" s="3">
        <v>44798</v>
      </c>
      <c r="D708" s="1" t="s">
        <v>895</v>
      </c>
      <c r="E708" s="1" t="s">
        <v>896</v>
      </c>
      <c r="F708" s="1">
        <v>72</v>
      </c>
      <c r="G708" s="1" t="s">
        <v>2</v>
      </c>
      <c r="H708" s="4">
        <v>5</v>
      </c>
      <c r="I708" s="5">
        <f t="shared" ca="1" si="0"/>
        <v>0.396785342740682</v>
      </c>
      <c r="J708">
        <f ca="1">Table_3[[#This Row],[Price of One Product]]*Table_3[[#This Row],[No of Products in one Sale]]*(1-Table_3[[#This Row],[Discount]])</f>
        <v>217.15727661335447</v>
      </c>
      <c r="O708">
        <v>34.713088841276608</v>
      </c>
      <c r="P708">
        <v>0.5576174723639703</v>
      </c>
    </row>
    <row r="709" spans="1:16" ht="14.25" customHeight="1">
      <c r="A709" s="1" t="s">
        <v>794</v>
      </c>
      <c r="B709" s="1" t="s">
        <v>884</v>
      </c>
      <c r="C709" s="3">
        <v>44758</v>
      </c>
      <c r="D709" s="1" t="s">
        <v>897</v>
      </c>
      <c r="E709" s="1" t="s">
        <v>896</v>
      </c>
      <c r="F709" s="1">
        <v>65</v>
      </c>
      <c r="G709" s="1" t="s">
        <v>3</v>
      </c>
      <c r="H709" s="4">
        <v>6</v>
      </c>
      <c r="I709" s="5">
        <f t="shared" ca="1" si="0"/>
        <v>0.2872116190093208</v>
      </c>
      <c r="J709">
        <f ca="1">Table_3[[#This Row],[Price of One Product]]*Table_3[[#This Row],[No of Products in one Sale]]*(1-Table_3[[#This Row],[Discount]])</f>
        <v>277.98746858636491</v>
      </c>
      <c r="O709">
        <v>257.90742306668585</v>
      </c>
      <c r="P709">
        <v>0.2859476648990793</v>
      </c>
    </row>
    <row r="710" spans="1:16" ht="14.25" customHeight="1">
      <c r="A710" s="1" t="s">
        <v>795</v>
      </c>
      <c r="B710" s="1" t="s">
        <v>885</v>
      </c>
      <c r="C710" s="3">
        <v>44785</v>
      </c>
      <c r="D710" s="1" t="s">
        <v>899</v>
      </c>
      <c r="E710" s="1" t="s">
        <v>896</v>
      </c>
      <c r="F710" s="1">
        <v>250</v>
      </c>
      <c r="G710" s="1" t="s">
        <v>1</v>
      </c>
      <c r="H710" s="4">
        <v>1</v>
      </c>
      <c r="I710" s="5">
        <f t="shared" ca="1" si="0"/>
        <v>0.58260063280176844</v>
      </c>
      <c r="J710">
        <f ca="1">Table_3[[#This Row],[Price of One Product]]*Table_3[[#This Row],[No of Products in one Sale]]*(1-Table_3[[#This Row],[Discount]])</f>
        <v>104.34984179955789</v>
      </c>
      <c r="O710">
        <v>113.32586008397571</v>
      </c>
      <c r="P710">
        <v>0.74043134750953177</v>
      </c>
    </row>
    <row r="711" spans="1:16" ht="14.25" customHeight="1">
      <c r="A711" s="1" t="s">
        <v>796</v>
      </c>
      <c r="B711" s="1" t="s">
        <v>886</v>
      </c>
      <c r="C711" s="3">
        <v>44761</v>
      </c>
      <c r="D711" s="1" t="s">
        <v>900</v>
      </c>
      <c r="E711" s="1" t="s">
        <v>896</v>
      </c>
      <c r="F711" s="1">
        <v>130</v>
      </c>
      <c r="G711" s="1" t="s">
        <v>2</v>
      </c>
      <c r="H711" s="4">
        <v>4</v>
      </c>
      <c r="I711" s="5">
        <f t="shared" ca="1" si="0"/>
        <v>0.27913706328817489</v>
      </c>
      <c r="J711">
        <f ca="1">Table_3[[#This Row],[Price of One Product]]*Table_3[[#This Row],[No of Products in one Sale]]*(1-Table_3[[#This Row],[Discount]])</f>
        <v>374.84872709014905</v>
      </c>
      <c r="O711">
        <v>50.028242599350179</v>
      </c>
      <c r="P711">
        <v>0.25670554983819838</v>
      </c>
    </row>
    <row r="712" spans="1:16" ht="14.25" customHeight="1">
      <c r="A712" s="1" t="s">
        <v>797</v>
      </c>
      <c r="B712" s="1" t="s">
        <v>887</v>
      </c>
      <c r="C712" s="3">
        <v>44800</v>
      </c>
      <c r="D712" s="1" t="s">
        <v>901</v>
      </c>
      <c r="E712" s="1" t="s">
        <v>896</v>
      </c>
      <c r="F712" s="1">
        <v>60</v>
      </c>
      <c r="G712" s="1" t="s">
        <v>3</v>
      </c>
      <c r="H712" s="4">
        <v>7</v>
      </c>
      <c r="I712" s="5">
        <f t="shared" ca="1" si="0"/>
        <v>0.36440865001260592</v>
      </c>
      <c r="J712">
        <f ca="1">Table_3[[#This Row],[Price of One Product]]*Table_3[[#This Row],[No of Products in one Sale]]*(1-Table_3[[#This Row],[Discount]])</f>
        <v>266.94836699470551</v>
      </c>
      <c r="O712">
        <v>76.49629017550501</v>
      </c>
      <c r="P712">
        <v>0.1101342992917409</v>
      </c>
    </row>
    <row r="713" spans="1:16" ht="14.25" customHeight="1">
      <c r="A713" s="1" t="s">
        <v>798</v>
      </c>
      <c r="B713" s="1" t="s">
        <v>883</v>
      </c>
      <c r="C713" s="3">
        <v>44807</v>
      </c>
      <c r="D713" s="1" t="s">
        <v>895</v>
      </c>
      <c r="E713" s="1" t="s">
        <v>896</v>
      </c>
      <c r="F713" s="1">
        <v>72</v>
      </c>
      <c r="G713" s="1" t="s">
        <v>1</v>
      </c>
      <c r="H713" s="4">
        <v>6</v>
      </c>
      <c r="I713" s="5">
        <f t="shared" ca="1" si="0"/>
        <v>0.9439549860528339</v>
      </c>
      <c r="J713">
        <f ca="1">Table_3[[#This Row],[Price of One Product]]*Table_3[[#This Row],[No of Products in one Sale]]*(1-Table_3[[#This Row],[Discount]])</f>
        <v>24.211446025175754</v>
      </c>
      <c r="O713">
        <v>325.97036747248524</v>
      </c>
      <c r="P713">
        <v>0.19803553872898483</v>
      </c>
    </row>
    <row r="714" spans="1:16" ht="14.25" customHeight="1">
      <c r="A714" s="1" t="s">
        <v>799</v>
      </c>
      <c r="B714" s="1" t="s">
        <v>884</v>
      </c>
      <c r="C714" s="3">
        <v>44799</v>
      </c>
      <c r="D714" s="1" t="s">
        <v>897</v>
      </c>
      <c r="E714" s="1" t="s">
        <v>896</v>
      </c>
      <c r="F714" s="1">
        <v>65</v>
      </c>
      <c r="G714" s="1" t="s">
        <v>2</v>
      </c>
      <c r="H714" s="4">
        <v>11</v>
      </c>
      <c r="I714" s="5">
        <f t="shared" ca="1" si="0"/>
        <v>0.59516143715188574</v>
      </c>
      <c r="J714">
        <f ca="1">Table_3[[#This Row],[Price of One Product]]*Table_3[[#This Row],[No of Products in one Sale]]*(1-Table_3[[#This Row],[Discount]])</f>
        <v>289.45957243640169</v>
      </c>
      <c r="O714">
        <v>259.72842809034597</v>
      </c>
      <c r="P714">
        <v>0.24388156339888512</v>
      </c>
    </row>
    <row r="715" spans="1:16" ht="14.25" customHeight="1">
      <c r="A715" s="1" t="s">
        <v>800</v>
      </c>
      <c r="B715" s="1" t="s">
        <v>885</v>
      </c>
      <c r="C715" s="3">
        <v>44759</v>
      </c>
      <c r="D715" s="1" t="s">
        <v>899</v>
      </c>
      <c r="E715" s="1" t="s">
        <v>898</v>
      </c>
      <c r="F715" s="1">
        <v>250</v>
      </c>
      <c r="G715" s="1" t="s">
        <v>3</v>
      </c>
      <c r="H715" s="4">
        <v>1</v>
      </c>
      <c r="I715" s="5">
        <f t="shared" ca="1" si="0"/>
        <v>0.78295614821407877</v>
      </c>
      <c r="J715">
        <f ca="1">Table_3[[#This Row],[Price of One Product]]*Table_3[[#This Row],[No of Products in one Sale]]*(1-Table_3[[#This Row],[Discount]])</f>
        <v>54.260962946480305</v>
      </c>
      <c r="O715">
        <v>123.55913415482728</v>
      </c>
      <c r="P715">
        <v>0.93710606758926407</v>
      </c>
    </row>
    <row r="716" spans="1:16" ht="14.25" customHeight="1">
      <c r="A716" s="1" t="s">
        <v>801</v>
      </c>
      <c r="B716" s="1" t="s">
        <v>886</v>
      </c>
      <c r="C716" s="3">
        <v>44763</v>
      </c>
      <c r="D716" s="1" t="s">
        <v>900</v>
      </c>
      <c r="E716" s="1" t="s">
        <v>896</v>
      </c>
      <c r="F716" s="1">
        <v>130</v>
      </c>
      <c r="G716" s="1" t="s">
        <v>1</v>
      </c>
      <c r="H716" s="4">
        <v>2</v>
      </c>
      <c r="I716" s="5">
        <f t="shared" ca="1" si="0"/>
        <v>0.12496563372842795</v>
      </c>
      <c r="J716">
        <f ca="1">Table_3[[#This Row],[Price of One Product]]*Table_3[[#This Row],[No of Products in one Sale]]*(1-Table_3[[#This Row],[Discount]])</f>
        <v>227.50893523060873</v>
      </c>
      <c r="O716">
        <v>105.72677786332204</v>
      </c>
      <c r="P716">
        <v>0.41350339061875763</v>
      </c>
    </row>
    <row r="717" spans="1:16" ht="14.25" customHeight="1">
      <c r="A717" s="1" t="s">
        <v>802</v>
      </c>
      <c r="B717" s="1" t="s">
        <v>883</v>
      </c>
      <c r="C717" s="3">
        <v>44776</v>
      </c>
      <c r="D717" s="1" t="s">
        <v>895</v>
      </c>
      <c r="E717" s="1" t="s">
        <v>896</v>
      </c>
      <c r="F717" s="1">
        <v>72</v>
      </c>
      <c r="G717" s="1" t="s">
        <v>2</v>
      </c>
      <c r="H717" s="4">
        <v>12</v>
      </c>
      <c r="I717" s="5">
        <f t="shared" ca="1" si="0"/>
        <v>0.36790388402717522</v>
      </c>
      <c r="J717">
        <f ca="1">Table_3[[#This Row],[Price of One Product]]*Table_3[[#This Row],[No of Products in one Sale]]*(1-Table_3[[#This Row],[Discount]])</f>
        <v>546.13104420052059</v>
      </c>
      <c r="O717">
        <v>622.15891617430952</v>
      </c>
      <c r="P717">
        <v>0.20952929959410493</v>
      </c>
    </row>
    <row r="718" spans="1:16" ht="14.25" customHeight="1">
      <c r="A718" s="1" t="s">
        <v>803</v>
      </c>
      <c r="B718" s="1" t="s">
        <v>884</v>
      </c>
      <c r="C718" s="3">
        <v>44763</v>
      </c>
      <c r="D718" s="1" t="s">
        <v>897</v>
      </c>
      <c r="E718" s="1" t="s">
        <v>896</v>
      </c>
      <c r="F718" s="1">
        <v>65</v>
      </c>
      <c r="G718" s="1" t="s">
        <v>3</v>
      </c>
      <c r="H718" s="4">
        <v>9</v>
      </c>
      <c r="I718" s="5">
        <f t="shared" ca="1" si="0"/>
        <v>0.43101347729296458</v>
      </c>
      <c r="J718">
        <f ca="1">Table_3[[#This Row],[Price of One Product]]*Table_3[[#This Row],[No of Products in one Sale]]*(1-Table_3[[#This Row],[Discount]])</f>
        <v>332.85711578361571</v>
      </c>
      <c r="O718">
        <v>582.12520547375425</v>
      </c>
      <c r="P718">
        <v>0.11144887317520058</v>
      </c>
    </row>
    <row r="719" spans="1:16" ht="14.25" customHeight="1">
      <c r="A719" s="1" t="s">
        <v>804</v>
      </c>
      <c r="B719" s="1" t="s">
        <v>885</v>
      </c>
      <c r="C719" s="3">
        <v>44803</v>
      </c>
      <c r="D719" s="1" t="s">
        <v>899</v>
      </c>
      <c r="E719" s="1" t="s">
        <v>896</v>
      </c>
      <c r="F719" s="1">
        <v>250</v>
      </c>
      <c r="G719" s="1" t="s">
        <v>1</v>
      </c>
      <c r="H719" s="4">
        <v>2</v>
      </c>
      <c r="I719" s="5">
        <f t="shared" ca="1" si="0"/>
        <v>0.87154564085082797</v>
      </c>
      <c r="J719">
        <f ca="1">Table_3[[#This Row],[Price of One Product]]*Table_3[[#This Row],[No of Products in one Sale]]*(1-Table_3[[#This Row],[Discount]])</f>
        <v>64.227179574586017</v>
      </c>
      <c r="O719">
        <v>489.12546272036849</v>
      </c>
      <c r="P719">
        <v>0.71707369140296329</v>
      </c>
    </row>
    <row r="720" spans="1:16" ht="14.25" customHeight="1">
      <c r="A720" s="1" t="s">
        <v>805</v>
      </c>
      <c r="B720" s="1" t="s">
        <v>886</v>
      </c>
      <c r="C720" s="3">
        <v>44806</v>
      </c>
      <c r="D720" s="1" t="s">
        <v>900</v>
      </c>
      <c r="E720" s="1" t="s">
        <v>896</v>
      </c>
      <c r="F720" s="1">
        <v>130</v>
      </c>
      <c r="G720" s="1" t="s">
        <v>2</v>
      </c>
      <c r="H720" s="4">
        <v>2</v>
      </c>
      <c r="I720" s="5">
        <f t="shared" ca="1" si="0"/>
        <v>0.48044624130972313</v>
      </c>
      <c r="J720">
        <f ca="1">Table_3[[#This Row],[Price of One Product]]*Table_3[[#This Row],[No of Products in one Sale]]*(1-Table_3[[#This Row],[Discount]])</f>
        <v>135.08397725947199</v>
      </c>
      <c r="O720">
        <v>122.36017101991926</v>
      </c>
      <c r="P720">
        <v>0.33773547317781749</v>
      </c>
    </row>
    <row r="721" spans="1:16" ht="14.25" customHeight="1">
      <c r="A721" s="1" t="s">
        <v>806</v>
      </c>
      <c r="B721" s="1" t="s">
        <v>887</v>
      </c>
      <c r="C721" s="3">
        <v>44774</v>
      </c>
      <c r="D721" s="1" t="s">
        <v>901</v>
      </c>
      <c r="E721" s="1" t="s">
        <v>898</v>
      </c>
      <c r="F721" s="1">
        <v>60</v>
      </c>
      <c r="G721" s="1" t="s">
        <v>3</v>
      </c>
      <c r="H721" s="4">
        <v>12</v>
      </c>
      <c r="I721" s="5">
        <f t="shared" ca="1" si="0"/>
        <v>0.33820259632685412</v>
      </c>
      <c r="J721">
        <f ca="1">Table_3[[#This Row],[Price of One Product]]*Table_3[[#This Row],[No of Products in one Sale]]*(1-Table_3[[#This Row],[Discount]])</f>
        <v>476.49413064466501</v>
      </c>
      <c r="O721">
        <v>58.64297968824485</v>
      </c>
      <c r="P721">
        <v>0.36653280342491268</v>
      </c>
    </row>
    <row r="722" spans="1:16" ht="14.25" customHeight="1">
      <c r="A722" s="1" t="s">
        <v>807</v>
      </c>
      <c r="B722" s="1" t="s">
        <v>888</v>
      </c>
      <c r="C722" s="3">
        <v>44769</v>
      </c>
      <c r="D722" s="1" t="s">
        <v>902</v>
      </c>
      <c r="E722" s="1" t="s">
        <v>896</v>
      </c>
      <c r="F722" s="1">
        <v>95</v>
      </c>
      <c r="G722" s="1" t="s">
        <v>1</v>
      </c>
      <c r="H722" s="4">
        <v>5</v>
      </c>
      <c r="I722" s="5">
        <f t="shared" ca="1" si="0"/>
        <v>0.99569227370719482</v>
      </c>
      <c r="J722">
        <f ca="1">Table_3[[#This Row],[Price of One Product]]*Table_3[[#This Row],[No of Products in one Sale]]*(1-Table_3[[#This Row],[Discount]])</f>
        <v>2.0461699890824607</v>
      </c>
      <c r="O722">
        <v>126.62309920573318</v>
      </c>
      <c r="P722">
        <v>3.2580548311715418E-2</v>
      </c>
    </row>
    <row r="723" spans="1:16" ht="14.25" customHeight="1">
      <c r="A723" s="1" t="s">
        <v>808</v>
      </c>
      <c r="B723" s="1" t="s">
        <v>883</v>
      </c>
      <c r="C723" s="3">
        <v>44793</v>
      </c>
      <c r="D723" s="1" t="s">
        <v>895</v>
      </c>
      <c r="E723" s="1" t="s">
        <v>896</v>
      </c>
      <c r="F723" s="1">
        <v>72</v>
      </c>
      <c r="G723" s="1" t="s">
        <v>2</v>
      </c>
      <c r="H723" s="4">
        <v>8</v>
      </c>
      <c r="I723" s="5">
        <f t="shared" ca="1" si="0"/>
        <v>0.95629389463911352</v>
      </c>
      <c r="J723">
        <f ca="1">Table_3[[#This Row],[Price of One Product]]*Table_3[[#This Row],[No of Products in one Sale]]*(1-Table_3[[#This Row],[Discount]])</f>
        <v>25.174716687870614</v>
      </c>
      <c r="O723">
        <v>276.70811431570939</v>
      </c>
      <c r="P723">
        <v>0.54793401716221424</v>
      </c>
    </row>
    <row r="724" spans="1:16" ht="14.25" customHeight="1">
      <c r="A724" s="1" t="s">
        <v>809</v>
      </c>
      <c r="B724" s="1" t="s">
        <v>884</v>
      </c>
      <c r="C724" s="3">
        <v>44768</v>
      </c>
      <c r="D724" s="1" t="s">
        <v>897</v>
      </c>
      <c r="E724" s="1" t="s">
        <v>896</v>
      </c>
      <c r="F724" s="1">
        <v>65</v>
      </c>
      <c r="G724" s="1" t="s">
        <v>3</v>
      </c>
      <c r="H724" s="4">
        <v>4</v>
      </c>
      <c r="I724" s="5">
        <f t="shared" ca="1" si="0"/>
        <v>0.4933867426758819</v>
      </c>
      <c r="J724">
        <f ca="1">Table_3[[#This Row],[Price of One Product]]*Table_3[[#This Row],[No of Products in one Sale]]*(1-Table_3[[#This Row],[Discount]])</f>
        <v>131.71944690427071</v>
      </c>
      <c r="O724">
        <v>109.36112912722119</v>
      </c>
      <c r="P724">
        <v>0.62299925049691596</v>
      </c>
    </row>
    <row r="725" spans="1:16" ht="14.25" customHeight="1">
      <c r="A725" s="1" t="s">
        <v>810</v>
      </c>
      <c r="B725" s="1" t="s">
        <v>885</v>
      </c>
      <c r="C725" s="3">
        <v>44803</v>
      </c>
      <c r="D725" s="1" t="s">
        <v>899</v>
      </c>
      <c r="E725" s="1" t="s">
        <v>898</v>
      </c>
      <c r="F725" s="1">
        <v>250</v>
      </c>
      <c r="G725" s="1" t="s">
        <v>1</v>
      </c>
      <c r="H725" s="4">
        <v>2</v>
      </c>
      <c r="I725" s="5">
        <f t="shared" ca="1" si="0"/>
        <v>0.16291771176856129</v>
      </c>
      <c r="J725">
        <f ca="1">Table_3[[#This Row],[Price of One Product]]*Table_3[[#This Row],[No of Products in one Sale]]*(1-Table_3[[#This Row],[Discount]])</f>
        <v>418.54114411571936</v>
      </c>
      <c r="O725">
        <v>166.61264981041313</v>
      </c>
      <c r="P725">
        <v>0.32626016685893444</v>
      </c>
    </row>
    <row r="726" spans="1:16" ht="14.25" customHeight="1">
      <c r="A726" s="1" t="s">
        <v>811</v>
      </c>
      <c r="B726" s="1" t="s">
        <v>886</v>
      </c>
      <c r="C726" s="3">
        <v>44755</v>
      </c>
      <c r="D726" s="1" t="s">
        <v>900</v>
      </c>
      <c r="E726" s="1" t="s">
        <v>898</v>
      </c>
      <c r="F726" s="1">
        <v>130</v>
      </c>
      <c r="G726" s="1" t="s">
        <v>2</v>
      </c>
      <c r="H726" s="4">
        <v>4</v>
      </c>
      <c r="I726" s="5">
        <f t="shared" ca="1" si="0"/>
        <v>0.60055212233970945</v>
      </c>
      <c r="J726">
        <f ca="1">Table_3[[#This Row],[Price of One Product]]*Table_3[[#This Row],[No of Products in one Sale]]*(1-Table_3[[#This Row],[Discount]])</f>
        <v>207.71289638335108</v>
      </c>
      <c r="O726">
        <v>228.14847584071541</v>
      </c>
      <c r="P726">
        <v>0.86374996883501043</v>
      </c>
    </row>
    <row r="727" spans="1:16" ht="14.25" customHeight="1">
      <c r="A727" s="1" t="s">
        <v>812</v>
      </c>
      <c r="B727" s="1" t="s">
        <v>883</v>
      </c>
      <c r="C727" s="3">
        <v>44789</v>
      </c>
      <c r="D727" s="1" t="s">
        <v>895</v>
      </c>
      <c r="E727" s="1" t="s">
        <v>898</v>
      </c>
      <c r="F727" s="1">
        <v>72</v>
      </c>
      <c r="G727" s="1" t="s">
        <v>3</v>
      </c>
      <c r="H727" s="4">
        <v>5</v>
      </c>
      <c r="I727" s="5">
        <f t="shared" ca="1" si="0"/>
        <v>0.42792973970684911</v>
      </c>
      <c r="J727">
        <f ca="1">Table_3[[#This Row],[Price of One Product]]*Table_3[[#This Row],[No of Products in one Sale]]*(1-Table_3[[#This Row],[Discount]])</f>
        <v>205.94529370553431</v>
      </c>
      <c r="O727">
        <v>236.10967763558685</v>
      </c>
      <c r="P727">
        <v>0.7618972669787285</v>
      </c>
    </row>
    <row r="728" spans="1:16" ht="14.25" customHeight="1">
      <c r="A728" s="1" t="s">
        <v>813</v>
      </c>
      <c r="B728" s="1" t="s">
        <v>884</v>
      </c>
      <c r="C728" s="3">
        <v>44785</v>
      </c>
      <c r="D728" s="1" t="s">
        <v>897</v>
      </c>
      <c r="E728" s="1" t="s">
        <v>898</v>
      </c>
      <c r="F728" s="1">
        <v>65</v>
      </c>
      <c r="G728" s="1" t="s">
        <v>1</v>
      </c>
      <c r="H728" s="4">
        <v>10</v>
      </c>
      <c r="I728" s="5">
        <f t="shared" ca="1" si="0"/>
        <v>0.71897237581624129</v>
      </c>
      <c r="J728">
        <f ca="1">Table_3[[#This Row],[Price of One Product]]*Table_3[[#This Row],[No of Products in one Sale]]*(1-Table_3[[#This Row],[Discount]])</f>
        <v>182.66795571944317</v>
      </c>
      <c r="O728">
        <v>151.66960205890408</v>
      </c>
      <c r="P728">
        <v>0.12551879191109738</v>
      </c>
    </row>
    <row r="729" spans="1:16" ht="14.25" customHeight="1">
      <c r="A729" s="1" t="s">
        <v>814</v>
      </c>
      <c r="B729" s="1" t="s">
        <v>885</v>
      </c>
      <c r="C729" s="3">
        <v>44775</v>
      </c>
      <c r="D729" s="1" t="s">
        <v>899</v>
      </c>
      <c r="E729" s="1" t="s">
        <v>898</v>
      </c>
      <c r="F729" s="1">
        <v>250</v>
      </c>
      <c r="G729" s="1" t="s">
        <v>2</v>
      </c>
      <c r="H729" s="4">
        <v>2</v>
      </c>
      <c r="I729" s="5">
        <f t="shared" ca="1" si="0"/>
        <v>0.61722406607071145</v>
      </c>
      <c r="J729">
        <f ca="1">Table_3[[#This Row],[Price of One Product]]*Table_3[[#This Row],[No of Products in one Sale]]*(1-Table_3[[#This Row],[Discount]])</f>
        <v>191.38796696464428</v>
      </c>
      <c r="O729">
        <v>27.263527037203026</v>
      </c>
      <c r="P729">
        <v>8.0077382388628604E-2</v>
      </c>
    </row>
    <row r="730" spans="1:16" ht="14.25" customHeight="1">
      <c r="A730" s="1" t="s">
        <v>815</v>
      </c>
      <c r="B730" s="1" t="s">
        <v>886</v>
      </c>
      <c r="C730" s="3">
        <v>44807</v>
      </c>
      <c r="D730" s="1" t="s">
        <v>900</v>
      </c>
      <c r="E730" s="1" t="s">
        <v>898</v>
      </c>
      <c r="F730" s="1">
        <v>130</v>
      </c>
      <c r="G730" s="1" t="s">
        <v>3</v>
      </c>
      <c r="H730" s="4">
        <v>3</v>
      </c>
      <c r="I730" s="5">
        <f t="shared" ca="1" si="0"/>
        <v>0.91686037812992471</v>
      </c>
      <c r="J730">
        <f ca="1">Table_3[[#This Row],[Price of One Product]]*Table_3[[#This Row],[No of Products in one Sale]]*(1-Table_3[[#This Row],[Discount]])</f>
        <v>32.424452529329365</v>
      </c>
      <c r="O730">
        <v>136.58187920274298</v>
      </c>
      <c r="P730">
        <v>0.77908336235371389</v>
      </c>
    </row>
    <row r="731" spans="1:16" ht="14.25" customHeight="1">
      <c r="A731" s="1" t="s">
        <v>816</v>
      </c>
      <c r="B731" s="1" t="s">
        <v>883</v>
      </c>
      <c r="C731" s="3">
        <v>44765</v>
      </c>
      <c r="D731" s="1" t="s">
        <v>895</v>
      </c>
      <c r="E731" s="1" t="s">
        <v>898</v>
      </c>
      <c r="F731" s="1">
        <v>72</v>
      </c>
      <c r="G731" s="1" t="s">
        <v>3</v>
      </c>
      <c r="H731" s="4">
        <v>9</v>
      </c>
      <c r="I731" s="5">
        <f t="shared" ca="1" si="0"/>
        <v>0.19230082977608998</v>
      </c>
      <c r="J731">
        <f ca="1">Table_3[[#This Row],[Price of One Product]]*Table_3[[#This Row],[No of Products in one Sale]]*(1-Table_3[[#This Row],[Discount]])</f>
        <v>523.38906230509372</v>
      </c>
      <c r="O731">
        <v>319.74600433243626</v>
      </c>
      <c r="P731">
        <v>0.2373024216048667</v>
      </c>
    </row>
    <row r="732" spans="1:16" ht="14.25" customHeight="1">
      <c r="A732" s="1" t="s">
        <v>817</v>
      </c>
      <c r="B732" s="1" t="s">
        <v>884</v>
      </c>
      <c r="C732" s="3">
        <v>44791</v>
      </c>
      <c r="D732" s="1" t="s">
        <v>897</v>
      </c>
      <c r="E732" s="1" t="s">
        <v>896</v>
      </c>
      <c r="F732" s="1">
        <v>65</v>
      </c>
      <c r="G732" s="1" t="s">
        <v>1</v>
      </c>
      <c r="H732" s="4">
        <v>11</v>
      </c>
      <c r="I732" s="5">
        <f t="shared" ca="1" si="0"/>
        <v>0.96559136273948187</v>
      </c>
      <c r="J732">
        <f ca="1">Table_3[[#This Row],[Price of One Product]]*Table_3[[#This Row],[No of Products in one Sale]]*(1-Table_3[[#This Row],[Discount]])</f>
        <v>24.60217564127046</v>
      </c>
      <c r="O732">
        <v>681.4893888557275</v>
      </c>
      <c r="P732">
        <v>9.0392786816388404E-2</v>
      </c>
    </row>
    <row r="733" spans="1:16" ht="14.25" customHeight="1">
      <c r="A733" s="1" t="s">
        <v>818</v>
      </c>
      <c r="B733" s="1" t="s">
        <v>885</v>
      </c>
      <c r="C733" s="3">
        <v>44777</v>
      </c>
      <c r="D733" s="1" t="s">
        <v>899</v>
      </c>
      <c r="E733" s="1" t="s">
        <v>896</v>
      </c>
      <c r="F733" s="1">
        <v>250</v>
      </c>
      <c r="G733" s="1" t="s">
        <v>2</v>
      </c>
      <c r="H733" s="4">
        <v>1</v>
      </c>
      <c r="I733" s="5">
        <f t="shared" ca="1" si="0"/>
        <v>0.87420357821086692</v>
      </c>
      <c r="J733">
        <f ca="1">Table_3[[#This Row],[Price of One Product]]*Table_3[[#This Row],[No of Products in one Sale]]*(1-Table_3[[#This Row],[Discount]])</f>
        <v>31.449105447283269</v>
      </c>
      <c r="O733">
        <v>207.52373109062304</v>
      </c>
      <c r="P733">
        <v>0.1047123869419575</v>
      </c>
    </row>
    <row r="734" spans="1:16" ht="14.25" customHeight="1">
      <c r="A734" s="1" t="s">
        <v>819</v>
      </c>
      <c r="B734" s="1" t="s">
        <v>886</v>
      </c>
      <c r="C734" s="3">
        <v>44806</v>
      </c>
      <c r="D734" s="1" t="s">
        <v>900</v>
      </c>
      <c r="E734" s="1" t="s">
        <v>896</v>
      </c>
      <c r="F734" s="1">
        <v>130</v>
      </c>
      <c r="G734" s="1" t="s">
        <v>3</v>
      </c>
      <c r="H734" s="4">
        <v>5</v>
      </c>
      <c r="I734" s="5">
        <f t="shared" ca="1" si="0"/>
        <v>0.21361154196704657</v>
      </c>
      <c r="J734">
        <f ca="1">Table_3[[#This Row],[Price of One Product]]*Table_3[[#This Row],[No of Products in one Sale]]*(1-Table_3[[#This Row],[Discount]])</f>
        <v>511.15249772141971</v>
      </c>
      <c r="O734">
        <v>621.60447938753407</v>
      </c>
      <c r="P734">
        <v>0.99393168396228593</v>
      </c>
    </row>
    <row r="735" spans="1:16" ht="14.25" customHeight="1">
      <c r="A735" s="1" t="s">
        <v>820</v>
      </c>
      <c r="B735" s="1" t="s">
        <v>883</v>
      </c>
      <c r="C735" s="3">
        <v>44796</v>
      </c>
      <c r="D735" s="1" t="s">
        <v>895</v>
      </c>
      <c r="E735" s="1" t="s">
        <v>898</v>
      </c>
      <c r="F735" s="1">
        <v>72</v>
      </c>
      <c r="G735" s="1" t="s">
        <v>1</v>
      </c>
      <c r="H735" s="4">
        <v>11</v>
      </c>
      <c r="I735" s="5">
        <f t="shared" ca="1" si="0"/>
        <v>0.44195217294167843</v>
      </c>
      <c r="J735">
        <f ca="1">Table_3[[#This Row],[Price of One Product]]*Table_3[[#This Row],[No of Products in one Sale]]*(1-Table_3[[#This Row],[Discount]])</f>
        <v>441.97387903019069</v>
      </c>
      <c r="O735">
        <v>673.00086914974122</v>
      </c>
      <c r="P735">
        <v>0.68581803847925238</v>
      </c>
    </row>
    <row r="736" spans="1:16" ht="14.25" customHeight="1">
      <c r="A736" s="1" t="s">
        <v>821</v>
      </c>
      <c r="B736" s="1" t="s">
        <v>884</v>
      </c>
      <c r="C736" s="3">
        <v>44760</v>
      </c>
      <c r="D736" s="1" t="s">
        <v>897</v>
      </c>
      <c r="E736" s="1" t="s">
        <v>898</v>
      </c>
      <c r="F736" s="1">
        <v>65</v>
      </c>
      <c r="G736" s="1" t="s">
        <v>2</v>
      </c>
      <c r="H736" s="4">
        <v>10</v>
      </c>
      <c r="I736" s="5">
        <f t="shared" ca="1" si="0"/>
        <v>0.23304911381901239</v>
      </c>
      <c r="J736">
        <f ca="1">Table_3[[#This Row],[Price of One Product]]*Table_3[[#This Row],[No of Products in one Sale]]*(1-Table_3[[#This Row],[Discount]])</f>
        <v>498.51807601764193</v>
      </c>
      <c r="O736">
        <v>448.87505955700982</v>
      </c>
      <c r="P736">
        <v>0.30609106693278898</v>
      </c>
    </row>
    <row r="737" spans="1:16" ht="14.25" customHeight="1">
      <c r="A737" s="1" t="s">
        <v>822</v>
      </c>
      <c r="B737" s="1" t="s">
        <v>885</v>
      </c>
      <c r="C737" s="3">
        <v>44759</v>
      </c>
      <c r="D737" s="1" t="s">
        <v>899</v>
      </c>
      <c r="E737" s="1" t="s">
        <v>898</v>
      </c>
      <c r="F737" s="1">
        <v>250</v>
      </c>
      <c r="G737" s="1" t="s">
        <v>3</v>
      </c>
      <c r="H737" s="4">
        <v>2</v>
      </c>
      <c r="I737" s="5">
        <f t="shared" ca="1" si="0"/>
        <v>0.76751867466523871</v>
      </c>
      <c r="J737">
        <f ca="1">Table_3[[#This Row],[Price of One Product]]*Table_3[[#This Row],[No of Products in one Sale]]*(1-Table_3[[#This Row],[Discount]])</f>
        <v>116.24066266738065</v>
      </c>
      <c r="O737">
        <v>191.8477363715848</v>
      </c>
      <c r="P737">
        <v>0.4888146064736465</v>
      </c>
    </row>
    <row r="738" spans="1:16" ht="14.25" customHeight="1">
      <c r="A738" s="1" t="s">
        <v>823</v>
      </c>
      <c r="B738" s="1" t="s">
        <v>886</v>
      </c>
      <c r="C738" s="3">
        <v>44795</v>
      </c>
      <c r="D738" s="1" t="s">
        <v>900</v>
      </c>
      <c r="E738" s="1" t="s">
        <v>898</v>
      </c>
      <c r="F738" s="1">
        <v>130</v>
      </c>
      <c r="G738" s="1" t="s">
        <v>1</v>
      </c>
      <c r="H738" s="4">
        <v>4</v>
      </c>
      <c r="I738" s="5">
        <f t="shared" ca="1" si="0"/>
        <v>0.54606711630023874</v>
      </c>
      <c r="J738">
        <f ca="1">Table_3[[#This Row],[Price of One Product]]*Table_3[[#This Row],[No of Products in one Sale]]*(1-Table_3[[#This Row],[Discount]])</f>
        <v>236.04509952387585</v>
      </c>
      <c r="O738">
        <v>486.24054780986785</v>
      </c>
      <c r="P738">
        <v>0.35379550951294758</v>
      </c>
    </row>
    <row r="739" spans="1:16" ht="14.25" customHeight="1">
      <c r="A739" s="1" t="s">
        <v>824</v>
      </c>
      <c r="B739" s="1" t="s">
        <v>887</v>
      </c>
      <c r="C739" s="3">
        <v>44808</v>
      </c>
      <c r="D739" s="1" t="s">
        <v>901</v>
      </c>
      <c r="E739" s="1" t="s">
        <v>898</v>
      </c>
      <c r="F739" s="1">
        <v>60</v>
      </c>
      <c r="G739" s="1" t="s">
        <v>2</v>
      </c>
      <c r="H739" s="4">
        <v>4</v>
      </c>
      <c r="I739" s="5">
        <f t="shared" ca="1" si="0"/>
        <v>0.73552133172872092</v>
      </c>
      <c r="J739">
        <f ca="1">Table_3[[#This Row],[Price of One Product]]*Table_3[[#This Row],[No of Products in one Sale]]*(1-Table_3[[#This Row],[Discount]])</f>
        <v>63.474880385106978</v>
      </c>
      <c r="O739">
        <v>212.98299783688063</v>
      </c>
      <c r="P739">
        <v>0.57470493905070985</v>
      </c>
    </row>
    <row r="740" spans="1:16" ht="14.25" customHeight="1">
      <c r="A740" s="1" t="s">
        <v>825</v>
      </c>
      <c r="B740" s="1" t="s">
        <v>883</v>
      </c>
      <c r="C740" s="3">
        <v>44756</v>
      </c>
      <c r="D740" s="1" t="s">
        <v>895</v>
      </c>
      <c r="E740" s="1" t="s">
        <v>898</v>
      </c>
      <c r="F740" s="1">
        <v>72</v>
      </c>
      <c r="G740" s="1" t="s">
        <v>3</v>
      </c>
      <c r="H740" s="4">
        <v>12</v>
      </c>
      <c r="I740" s="5">
        <f t="shared" ca="1" si="0"/>
        <v>0.68786687700078997</v>
      </c>
      <c r="J740">
        <f ca="1">Table_3[[#This Row],[Price of One Product]]*Table_3[[#This Row],[No of Products in one Sale]]*(1-Table_3[[#This Row],[Discount]])</f>
        <v>269.68301827131745</v>
      </c>
      <c r="O740">
        <v>54.828754936236329</v>
      </c>
      <c r="P740">
        <v>0.77312765217893553</v>
      </c>
    </row>
    <row r="741" spans="1:16" ht="14.25" customHeight="1">
      <c r="A741" s="1" t="s">
        <v>826</v>
      </c>
      <c r="B741" s="1" t="s">
        <v>884</v>
      </c>
      <c r="C741" s="3">
        <v>44801</v>
      </c>
      <c r="D741" s="1" t="s">
        <v>897</v>
      </c>
      <c r="E741" s="1" t="s">
        <v>898</v>
      </c>
      <c r="F741" s="1">
        <v>65</v>
      </c>
      <c r="G741" s="1" t="s">
        <v>1</v>
      </c>
      <c r="H741" s="4">
        <v>5</v>
      </c>
      <c r="I741" s="5">
        <f t="shared" ca="1" si="0"/>
        <v>0.38969665232202233</v>
      </c>
      <c r="J741">
        <f ca="1">Table_3[[#This Row],[Price of One Product]]*Table_3[[#This Row],[No of Products in one Sale]]*(1-Table_3[[#This Row],[Discount]])</f>
        <v>198.34858799534274</v>
      </c>
      <c r="O741">
        <v>32.426798275467668</v>
      </c>
      <c r="P741">
        <v>0.91129677319267521</v>
      </c>
    </row>
    <row r="742" spans="1:16" ht="14.25" customHeight="1">
      <c r="A742" s="1" t="s">
        <v>827</v>
      </c>
      <c r="B742" s="1" t="s">
        <v>885</v>
      </c>
      <c r="C742" s="3">
        <v>44806</v>
      </c>
      <c r="D742" s="1" t="s">
        <v>899</v>
      </c>
      <c r="E742" s="1" t="s">
        <v>896</v>
      </c>
      <c r="F742" s="1">
        <v>250</v>
      </c>
      <c r="G742" s="1" t="s">
        <v>2</v>
      </c>
      <c r="H742" s="4">
        <v>3</v>
      </c>
      <c r="I742" s="5">
        <f t="shared" ca="1" si="0"/>
        <v>0.2748321607998826</v>
      </c>
      <c r="J742">
        <f ca="1">Table_3[[#This Row],[Price of One Product]]*Table_3[[#This Row],[No of Products in one Sale]]*(1-Table_3[[#This Row],[Discount]])</f>
        <v>543.87587940008802</v>
      </c>
      <c r="O742">
        <v>281.8493358494452</v>
      </c>
      <c r="P742">
        <v>0.473686152227906</v>
      </c>
    </row>
    <row r="743" spans="1:16" ht="14.25" customHeight="1">
      <c r="A743" s="1" t="s">
        <v>828</v>
      </c>
      <c r="B743" s="1" t="s">
        <v>886</v>
      </c>
      <c r="C743" s="3">
        <v>44794</v>
      </c>
      <c r="D743" s="1" t="s">
        <v>900</v>
      </c>
      <c r="E743" s="1" t="s">
        <v>896</v>
      </c>
      <c r="F743" s="1">
        <v>130</v>
      </c>
      <c r="G743" s="1" t="s">
        <v>3</v>
      </c>
      <c r="H743" s="4">
        <v>2</v>
      </c>
      <c r="I743" s="5">
        <f t="shared" ca="1" si="0"/>
        <v>0.56943472001936757</v>
      </c>
      <c r="J743">
        <f ca="1">Table_3[[#This Row],[Price of One Product]]*Table_3[[#This Row],[No of Products in one Sale]]*(1-Table_3[[#This Row],[Discount]])</f>
        <v>111.94697279496444</v>
      </c>
      <c r="O743">
        <v>117.49049061537197</v>
      </c>
      <c r="P743">
        <v>0.45882725206276087</v>
      </c>
    </row>
    <row r="744" spans="1:16" ht="14.25" customHeight="1">
      <c r="A744" s="1" t="s">
        <v>829</v>
      </c>
      <c r="B744" s="1" t="s">
        <v>883</v>
      </c>
      <c r="C744" s="3">
        <v>44800</v>
      </c>
      <c r="D744" s="1" t="s">
        <v>895</v>
      </c>
      <c r="E744" s="1" t="s">
        <v>896</v>
      </c>
      <c r="F744" s="1">
        <v>72</v>
      </c>
      <c r="G744" s="1" t="s">
        <v>1</v>
      </c>
      <c r="H744" s="4">
        <v>7</v>
      </c>
      <c r="I744" s="5">
        <f t="shared" ca="1" si="0"/>
        <v>0.2388232559464748</v>
      </c>
      <c r="J744">
        <f ca="1">Table_3[[#This Row],[Price of One Product]]*Table_3[[#This Row],[No of Products in one Sale]]*(1-Table_3[[#This Row],[Discount]])</f>
        <v>383.63307900297673</v>
      </c>
      <c r="O744">
        <v>475.46841032893406</v>
      </c>
      <c r="P744">
        <v>0.86174548821747177</v>
      </c>
    </row>
    <row r="745" spans="1:16" ht="14.25" customHeight="1">
      <c r="A745" s="1" t="s">
        <v>830</v>
      </c>
      <c r="B745" s="1" t="s">
        <v>884</v>
      </c>
      <c r="C745" s="3">
        <v>44789</v>
      </c>
      <c r="D745" s="1" t="s">
        <v>897</v>
      </c>
      <c r="E745" s="1" t="s">
        <v>898</v>
      </c>
      <c r="F745" s="1">
        <v>65</v>
      </c>
      <c r="G745" s="1" t="s">
        <v>2</v>
      </c>
      <c r="H745" s="4">
        <v>12</v>
      </c>
      <c r="I745" s="5">
        <f t="shared" ca="1" si="0"/>
        <v>0.89529714614769662</v>
      </c>
      <c r="J745">
        <f ca="1">Table_3[[#This Row],[Price of One Product]]*Table_3[[#This Row],[No of Products in one Sale]]*(1-Table_3[[#This Row],[Discount]])</f>
        <v>81.668226004796637</v>
      </c>
      <c r="O745">
        <v>225.45318527389705</v>
      </c>
      <c r="P745">
        <v>0.44841835813621922</v>
      </c>
    </row>
    <row r="746" spans="1:16" ht="14.25" customHeight="1">
      <c r="A746" s="1" t="s">
        <v>831</v>
      </c>
      <c r="B746" s="1" t="s">
        <v>885</v>
      </c>
      <c r="C746" s="3">
        <v>44802</v>
      </c>
      <c r="D746" s="1" t="s">
        <v>899</v>
      </c>
      <c r="E746" s="1" t="s">
        <v>898</v>
      </c>
      <c r="F746" s="1">
        <v>250</v>
      </c>
      <c r="G746" s="1" t="s">
        <v>3</v>
      </c>
      <c r="H746" s="4">
        <v>3</v>
      </c>
      <c r="I746" s="5">
        <f t="shared" ca="1" si="0"/>
        <v>0.82132302725234407</v>
      </c>
      <c r="J746">
        <f ca="1">Table_3[[#This Row],[Price of One Product]]*Table_3[[#This Row],[No of Products in one Sale]]*(1-Table_3[[#This Row],[Discount]])</f>
        <v>134.00772956074195</v>
      </c>
      <c r="O746">
        <v>668.71118015974173</v>
      </c>
      <c r="P746">
        <v>0.74116939603262344</v>
      </c>
    </row>
    <row r="747" spans="1:16" ht="14.25" customHeight="1">
      <c r="A747" s="1" t="s">
        <v>832</v>
      </c>
      <c r="B747" s="1" t="s">
        <v>886</v>
      </c>
      <c r="C747" s="3">
        <v>44793</v>
      </c>
      <c r="D747" s="1" t="s">
        <v>900</v>
      </c>
      <c r="E747" s="1" t="s">
        <v>898</v>
      </c>
      <c r="F747" s="1">
        <v>130</v>
      </c>
      <c r="G747" s="1" t="s">
        <v>1</v>
      </c>
      <c r="H747" s="4">
        <v>4</v>
      </c>
      <c r="I747" s="5">
        <f t="shared" ca="1" si="0"/>
        <v>0.97473195852113848</v>
      </c>
      <c r="J747">
        <f ca="1">Table_3[[#This Row],[Price of One Product]]*Table_3[[#This Row],[No of Products in one Sale]]*(1-Table_3[[#This Row],[Discount]])</f>
        <v>13.139381569007993</v>
      </c>
      <c r="O747">
        <v>172.79800732983489</v>
      </c>
      <c r="P747">
        <v>6.7382672664745069E-2</v>
      </c>
    </row>
    <row r="748" spans="1:16" ht="14.25" customHeight="1">
      <c r="A748" s="1" t="s">
        <v>833</v>
      </c>
      <c r="B748" s="1" t="s">
        <v>887</v>
      </c>
      <c r="C748" s="3">
        <v>44793</v>
      </c>
      <c r="D748" s="1" t="s">
        <v>901</v>
      </c>
      <c r="E748" s="1" t="s">
        <v>898</v>
      </c>
      <c r="F748" s="1">
        <v>60</v>
      </c>
      <c r="G748" s="1" t="s">
        <v>2</v>
      </c>
      <c r="H748" s="4">
        <v>8</v>
      </c>
      <c r="I748" s="5">
        <f t="shared" ca="1" si="0"/>
        <v>0.10955252510443403</v>
      </c>
      <c r="J748">
        <f ca="1">Table_3[[#This Row],[Price of One Product]]*Table_3[[#This Row],[No of Products in one Sale]]*(1-Table_3[[#This Row],[Discount]])</f>
        <v>427.41478794987165</v>
      </c>
      <c r="O748">
        <v>344.76389173087551</v>
      </c>
      <c r="P748">
        <v>0.58655185960014222</v>
      </c>
    </row>
    <row r="749" spans="1:16" ht="14.25" customHeight="1">
      <c r="A749" s="1" t="s">
        <v>834</v>
      </c>
      <c r="B749" s="1" t="s">
        <v>888</v>
      </c>
      <c r="C749" s="3">
        <v>44785</v>
      </c>
      <c r="D749" s="1" t="s">
        <v>902</v>
      </c>
      <c r="E749" s="1" t="s">
        <v>898</v>
      </c>
      <c r="F749" s="1">
        <v>95</v>
      </c>
      <c r="G749" s="1" t="s">
        <v>3</v>
      </c>
      <c r="H749" s="4">
        <v>3</v>
      </c>
      <c r="I749" s="5">
        <f t="shared" ca="1" si="0"/>
        <v>0.73427807811155965</v>
      </c>
      <c r="J749">
        <f ca="1">Table_3[[#This Row],[Price of One Product]]*Table_3[[#This Row],[No of Products in one Sale]]*(1-Table_3[[#This Row],[Discount]])</f>
        <v>75.730747738205494</v>
      </c>
      <c r="O749">
        <v>231.83459505251545</v>
      </c>
      <c r="P749">
        <v>0.77820294094856746</v>
      </c>
    </row>
    <row r="750" spans="1:16" ht="14.25" customHeight="1">
      <c r="A750" s="1" t="s">
        <v>835</v>
      </c>
      <c r="B750" s="1" t="s">
        <v>883</v>
      </c>
      <c r="C750" s="3">
        <v>44778</v>
      </c>
      <c r="D750" s="1" t="s">
        <v>895</v>
      </c>
      <c r="E750" s="1" t="s">
        <v>898</v>
      </c>
      <c r="F750" s="1">
        <v>72</v>
      </c>
      <c r="G750" s="1" t="s">
        <v>1</v>
      </c>
      <c r="H750" s="4">
        <v>8</v>
      </c>
      <c r="I750" s="5">
        <f t="shared" ca="1" si="0"/>
        <v>0.10961614410686582</v>
      </c>
      <c r="J750">
        <f ca="1">Table_3[[#This Row],[Price of One Product]]*Table_3[[#This Row],[No of Products in one Sale]]*(1-Table_3[[#This Row],[Discount]])</f>
        <v>512.86110099444534</v>
      </c>
      <c r="O750">
        <v>24.77596929049659</v>
      </c>
      <c r="P750">
        <v>5.1177197045519041E-2</v>
      </c>
    </row>
    <row r="751" spans="1:16" ht="14.25" customHeight="1">
      <c r="A751" s="1" t="s">
        <v>836</v>
      </c>
      <c r="B751" s="1" t="s">
        <v>884</v>
      </c>
      <c r="C751" s="3">
        <v>44764</v>
      </c>
      <c r="D751" s="1" t="s">
        <v>897</v>
      </c>
      <c r="E751" s="1" t="s">
        <v>898</v>
      </c>
      <c r="F751" s="1">
        <v>65</v>
      </c>
      <c r="G751" s="1" t="s">
        <v>2</v>
      </c>
      <c r="H751" s="4">
        <v>12</v>
      </c>
      <c r="I751" s="5">
        <f t="shared" ca="1" si="0"/>
        <v>0.22414451512679734</v>
      </c>
      <c r="J751">
        <f ca="1">Table_3[[#This Row],[Price of One Product]]*Table_3[[#This Row],[No of Products in one Sale]]*(1-Table_3[[#This Row],[Discount]])</f>
        <v>605.16727820109804</v>
      </c>
      <c r="O751">
        <v>88.261760974500945</v>
      </c>
      <c r="P751">
        <v>0.95246351957074316</v>
      </c>
    </row>
    <row r="752" spans="1:16" ht="14.25" customHeight="1">
      <c r="A752" s="1" t="s">
        <v>837</v>
      </c>
      <c r="B752" s="1" t="s">
        <v>885</v>
      </c>
      <c r="C752" s="3">
        <v>44769</v>
      </c>
      <c r="D752" s="1" t="s">
        <v>899</v>
      </c>
      <c r="E752" s="1" t="s">
        <v>896</v>
      </c>
      <c r="F752" s="1">
        <v>250</v>
      </c>
      <c r="G752" s="1" t="s">
        <v>3</v>
      </c>
      <c r="H752" s="4">
        <v>3</v>
      </c>
      <c r="I752" s="5">
        <f t="shared" ca="1" si="0"/>
        <v>0.75035200888016285</v>
      </c>
      <c r="J752">
        <f ca="1">Table_3[[#This Row],[Price of One Product]]*Table_3[[#This Row],[No of Products in one Sale]]*(1-Table_3[[#This Row],[Discount]])</f>
        <v>187.23599333987787</v>
      </c>
      <c r="O752">
        <v>163.45986143293266</v>
      </c>
      <c r="P752">
        <v>0.45616547424813103</v>
      </c>
    </row>
    <row r="753" spans="1:16" ht="14.25" customHeight="1">
      <c r="A753" s="1" t="s">
        <v>838</v>
      </c>
      <c r="B753" s="1" t="s">
        <v>886</v>
      </c>
      <c r="C753" s="3">
        <v>44794</v>
      </c>
      <c r="D753" s="1" t="s">
        <v>900</v>
      </c>
      <c r="E753" s="1" t="s">
        <v>896</v>
      </c>
      <c r="F753" s="1">
        <v>130</v>
      </c>
      <c r="G753" s="1" t="s">
        <v>1</v>
      </c>
      <c r="H753" s="4">
        <v>4</v>
      </c>
      <c r="I753" s="5">
        <f t="shared" ca="1" si="0"/>
        <v>0.78482128138535101</v>
      </c>
      <c r="J753">
        <f ca="1">Table_3[[#This Row],[Price of One Product]]*Table_3[[#This Row],[No of Products in one Sale]]*(1-Table_3[[#This Row],[Discount]])</f>
        <v>111.89293367961747</v>
      </c>
      <c r="O753">
        <v>470.23347573778375</v>
      </c>
      <c r="P753">
        <v>0.66405558997526137</v>
      </c>
    </row>
    <row r="754" spans="1:16" ht="14.25" customHeight="1">
      <c r="A754" s="1" t="s">
        <v>839</v>
      </c>
      <c r="B754" s="1" t="s">
        <v>883</v>
      </c>
      <c r="C754" s="3">
        <v>44766</v>
      </c>
      <c r="D754" s="1" t="s">
        <v>895</v>
      </c>
      <c r="E754" s="1" t="s">
        <v>896</v>
      </c>
      <c r="F754" s="1">
        <v>72</v>
      </c>
      <c r="G754" s="1" t="s">
        <v>2</v>
      </c>
      <c r="H754" s="4">
        <v>11</v>
      </c>
      <c r="I754" s="5">
        <f t="shared" ca="1" si="0"/>
        <v>0.84951397721940936</v>
      </c>
      <c r="J754">
        <f ca="1">Table_3[[#This Row],[Price of One Product]]*Table_3[[#This Row],[No of Products in one Sale]]*(1-Table_3[[#This Row],[Discount]])</f>
        <v>119.18493004222779</v>
      </c>
      <c r="O754">
        <v>106.58993920487302</v>
      </c>
      <c r="P754">
        <v>0.65040664560610106</v>
      </c>
    </row>
    <row r="755" spans="1:16" ht="14.25" customHeight="1">
      <c r="A755" s="1" t="s">
        <v>840</v>
      </c>
      <c r="B755" s="1" t="s">
        <v>884</v>
      </c>
      <c r="C755" s="3">
        <v>44772</v>
      </c>
      <c r="D755" s="1" t="s">
        <v>897</v>
      </c>
      <c r="E755" s="1" t="s">
        <v>898</v>
      </c>
      <c r="F755" s="1">
        <v>65</v>
      </c>
      <c r="G755" s="1" t="s">
        <v>3</v>
      </c>
      <c r="H755" s="4">
        <v>9</v>
      </c>
      <c r="I755" s="5">
        <f t="shared" ca="1" si="0"/>
        <v>0.52177904859133672</v>
      </c>
      <c r="J755">
        <f ca="1">Table_3[[#This Row],[Price of One Product]]*Table_3[[#This Row],[No of Products in one Sale]]*(1-Table_3[[#This Row],[Discount]])</f>
        <v>279.75925657406799</v>
      </c>
      <c r="O755">
        <v>248.1766261821077</v>
      </c>
      <c r="P755">
        <v>0.53724008340248619</v>
      </c>
    </row>
    <row r="756" spans="1:16" ht="14.25" customHeight="1">
      <c r="A756" s="1" t="s">
        <v>841</v>
      </c>
      <c r="B756" s="1" t="s">
        <v>885</v>
      </c>
      <c r="C756" s="3">
        <v>44787</v>
      </c>
      <c r="D756" s="1" t="s">
        <v>899</v>
      </c>
      <c r="E756" s="1" t="s">
        <v>898</v>
      </c>
      <c r="F756" s="1">
        <v>250</v>
      </c>
      <c r="G756" s="1" t="s">
        <v>1</v>
      </c>
      <c r="H756" s="4">
        <v>3</v>
      </c>
      <c r="I756" s="5">
        <f t="shared" ref="I756:I795" ca="1" si="1">RAND()</f>
        <v>4.1384223055729974E-2</v>
      </c>
      <c r="J756">
        <f ca="1">Table_3[[#This Row],[Price of One Product]]*Table_3[[#This Row],[No of Products in one Sale]]*(1-Table_3[[#This Row],[Discount]])</f>
        <v>718.96183270820256</v>
      </c>
      <c r="O756">
        <v>318.96926441376303</v>
      </c>
      <c r="P756">
        <v>0.64788775239604401</v>
      </c>
    </row>
    <row r="757" spans="1:16" ht="14.25" customHeight="1">
      <c r="A757" s="1" t="s">
        <v>842</v>
      </c>
      <c r="B757" s="1" t="s">
        <v>886</v>
      </c>
      <c r="C757" s="3">
        <v>44755</v>
      </c>
      <c r="D757" s="1" t="s">
        <v>900</v>
      </c>
      <c r="E757" s="1" t="s">
        <v>898</v>
      </c>
      <c r="F757" s="1">
        <v>130</v>
      </c>
      <c r="G757" s="1" t="s">
        <v>2</v>
      </c>
      <c r="H757" s="4">
        <v>3</v>
      </c>
      <c r="I757" s="5">
        <f t="shared" ca="1" si="1"/>
        <v>0.17004915174139767</v>
      </c>
      <c r="J757">
        <f ca="1">Table_3[[#This Row],[Price of One Product]]*Table_3[[#This Row],[No of Products in one Sale]]*(1-Table_3[[#This Row],[Discount]])</f>
        <v>323.68083082085491</v>
      </c>
      <c r="O757">
        <v>103.02655443531776</v>
      </c>
      <c r="P757">
        <v>2.3745764507706379E-2</v>
      </c>
    </row>
    <row r="758" spans="1:16" ht="14.25" customHeight="1">
      <c r="A758" s="1" t="s">
        <v>843</v>
      </c>
      <c r="B758" s="1" t="s">
        <v>887</v>
      </c>
      <c r="C758" s="3">
        <v>44785</v>
      </c>
      <c r="D758" s="1" t="s">
        <v>901</v>
      </c>
      <c r="E758" s="1" t="s">
        <v>898</v>
      </c>
      <c r="F758" s="1">
        <v>60</v>
      </c>
      <c r="G758" s="1" t="s">
        <v>3</v>
      </c>
      <c r="H758" s="4">
        <v>13</v>
      </c>
      <c r="I758" s="5">
        <f t="shared" ca="1" si="1"/>
        <v>0.13364742687934184</v>
      </c>
      <c r="J758">
        <f ca="1">Table_3[[#This Row],[Price of One Product]]*Table_3[[#This Row],[No of Products in one Sale]]*(1-Table_3[[#This Row],[Discount]])</f>
        <v>675.75500703411342</v>
      </c>
      <c r="O758">
        <v>95.749241048356808</v>
      </c>
      <c r="P758">
        <v>0.88263992232110755</v>
      </c>
    </row>
    <row r="759" spans="1:16" ht="14.25" customHeight="1">
      <c r="A759" s="1" t="s">
        <v>844</v>
      </c>
      <c r="B759" s="1" t="s">
        <v>883</v>
      </c>
      <c r="C759" s="3">
        <v>44761</v>
      </c>
      <c r="D759" s="1" t="s">
        <v>895</v>
      </c>
      <c r="E759" s="1" t="s">
        <v>898</v>
      </c>
      <c r="F759" s="1">
        <v>72</v>
      </c>
      <c r="G759" s="1" t="s">
        <v>1</v>
      </c>
      <c r="H759" s="4">
        <v>12</v>
      </c>
      <c r="I759" s="5">
        <f t="shared" ca="1" si="1"/>
        <v>0.99175184835421193</v>
      </c>
      <c r="J759">
        <f ca="1">Table_3[[#This Row],[Price of One Product]]*Table_3[[#This Row],[No of Products in one Sale]]*(1-Table_3[[#This Row],[Discount]])</f>
        <v>7.1264030219608934</v>
      </c>
      <c r="O759">
        <v>659.77168366705394</v>
      </c>
      <c r="P759">
        <v>0.50273195706390095</v>
      </c>
    </row>
    <row r="760" spans="1:16" ht="14.25" customHeight="1">
      <c r="A760" s="1" t="s">
        <v>845</v>
      </c>
      <c r="B760" s="1" t="s">
        <v>884</v>
      </c>
      <c r="C760" s="3">
        <v>44770</v>
      </c>
      <c r="D760" s="1" t="s">
        <v>897</v>
      </c>
      <c r="E760" s="1" t="s">
        <v>898</v>
      </c>
      <c r="F760" s="1">
        <v>65</v>
      </c>
      <c r="G760" s="1" t="s">
        <v>2</v>
      </c>
      <c r="H760" s="4">
        <v>5</v>
      </c>
      <c r="I760" s="5">
        <f t="shared" ca="1" si="1"/>
        <v>6.9880827009819013E-2</v>
      </c>
      <c r="J760">
        <f ca="1">Table_3[[#This Row],[Price of One Product]]*Table_3[[#This Row],[No of Products in one Sale]]*(1-Table_3[[#This Row],[Discount]])</f>
        <v>302.2887312218088</v>
      </c>
      <c r="O760">
        <v>94.909712929225464</v>
      </c>
      <c r="P760">
        <v>0.40168299284029552</v>
      </c>
    </row>
    <row r="761" spans="1:16" ht="14.25" customHeight="1">
      <c r="A761" s="1" t="s">
        <v>846</v>
      </c>
      <c r="B761" s="1" t="s">
        <v>885</v>
      </c>
      <c r="C761" s="3">
        <v>44769</v>
      </c>
      <c r="D761" s="1" t="s">
        <v>899</v>
      </c>
      <c r="E761" s="1" t="s">
        <v>896</v>
      </c>
      <c r="F761" s="1">
        <v>250</v>
      </c>
      <c r="G761" s="1" t="s">
        <v>3</v>
      </c>
      <c r="H761" s="4">
        <v>3</v>
      </c>
      <c r="I761" s="5">
        <f t="shared" ca="1" si="1"/>
        <v>0.64245397279003691</v>
      </c>
      <c r="J761">
        <f ca="1">Table_3[[#This Row],[Price of One Product]]*Table_3[[#This Row],[No of Products in one Sale]]*(1-Table_3[[#This Row],[Discount]])</f>
        <v>268.15952040747231</v>
      </c>
      <c r="O761">
        <v>593.32398115689568</v>
      </c>
      <c r="P761">
        <v>0.78728847548220837</v>
      </c>
    </row>
    <row r="762" spans="1:16" ht="14.25" customHeight="1">
      <c r="A762" s="1" t="s">
        <v>847</v>
      </c>
      <c r="B762" s="1" t="s">
        <v>886</v>
      </c>
      <c r="C762" s="3">
        <v>44785</v>
      </c>
      <c r="D762" s="1" t="s">
        <v>900</v>
      </c>
      <c r="E762" s="1" t="s">
        <v>898</v>
      </c>
      <c r="F762" s="1">
        <v>130</v>
      </c>
      <c r="G762" s="1" t="s">
        <v>1</v>
      </c>
      <c r="H762" s="4">
        <v>5</v>
      </c>
      <c r="I762" s="5">
        <f t="shared" ca="1" si="1"/>
        <v>0.40149562582313336</v>
      </c>
      <c r="J762">
        <f ca="1">Table_3[[#This Row],[Price of One Product]]*Table_3[[#This Row],[No of Products in one Sale]]*(1-Table_3[[#This Row],[Discount]])</f>
        <v>389.0278432149633</v>
      </c>
      <c r="O762">
        <v>438.91111767816619</v>
      </c>
      <c r="P762">
        <v>0.15207127567019696</v>
      </c>
    </row>
    <row r="763" spans="1:16" ht="14.25" customHeight="1">
      <c r="A763" s="1" t="s">
        <v>848</v>
      </c>
      <c r="B763" s="1" t="s">
        <v>883</v>
      </c>
      <c r="C763" s="3">
        <v>44771</v>
      </c>
      <c r="D763" s="1" t="s">
        <v>895</v>
      </c>
      <c r="E763" s="1" t="s">
        <v>896</v>
      </c>
      <c r="F763" s="1">
        <v>72</v>
      </c>
      <c r="G763" s="1" t="s">
        <v>2</v>
      </c>
      <c r="H763" s="4">
        <v>8</v>
      </c>
      <c r="I763" s="5">
        <f t="shared" ca="1" si="1"/>
        <v>0.53593621081259812</v>
      </c>
      <c r="J763">
        <f ca="1">Table_3[[#This Row],[Price of One Product]]*Table_3[[#This Row],[No of Products in one Sale]]*(1-Table_3[[#This Row],[Discount]])</f>
        <v>267.30074257194349</v>
      </c>
      <c r="O763">
        <v>185.39439613099469</v>
      </c>
      <c r="P763">
        <v>0.90941422338439848</v>
      </c>
    </row>
    <row r="764" spans="1:16" ht="14.25" customHeight="1">
      <c r="A764" s="1" t="s">
        <v>849</v>
      </c>
      <c r="B764" s="1" t="s">
        <v>884</v>
      </c>
      <c r="C764" s="3">
        <v>44776</v>
      </c>
      <c r="D764" s="1" t="s">
        <v>897</v>
      </c>
      <c r="E764" s="1" t="s">
        <v>898</v>
      </c>
      <c r="F764" s="1">
        <v>65</v>
      </c>
      <c r="G764" s="1" t="s">
        <v>3</v>
      </c>
      <c r="H764" s="4">
        <v>4</v>
      </c>
      <c r="I764" s="5">
        <f t="shared" ca="1" si="1"/>
        <v>0.95273932147948281</v>
      </c>
      <c r="J764">
        <f ca="1">Table_3[[#This Row],[Price of One Product]]*Table_3[[#This Row],[No of Products in one Sale]]*(1-Table_3[[#This Row],[Discount]])</f>
        <v>12.287776415334468</v>
      </c>
      <c r="O764">
        <v>220.04986248500936</v>
      </c>
      <c r="P764">
        <v>5.3309969644878108E-2</v>
      </c>
    </row>
    <row r="765" spans="1:16" ht="14.25" customHeight="1">
      <c r="A765" s="1" t="s">
        <v>850</v>
      </c>
      <c r="B765" s="1" t="s">
        <v>885</v>
      </c>
      <c r="C765" s="3">
        <v>44782</v>
      </c>
      <c r="D765" s="1" t="s">
        <v>899</v>
      </c>
      <c r="E765" s="1" t="s">
        <v>896</v>
      </c>
      <c r="F765" s="1">
        <v>250</v>
      </c>
      <c r="G765" s="1" t="s">
        <v>1</v>
      </c>
      <c r="H765" s="4">
        <v>3</v>
      </c>
      <c r="I765" s="5">
        <f t="shared" ca="1" si="1"/>
        <v>0.84297947330267997</v>
      </c>
      <c r="J765">
        <f ca="1">Table_3[[#This Row],[Price of One Product]]*Table_3[[#This Row],[No of Products in one Sale]]*(1-Table_3[[#This Row],[Discount]])</f>
        <v>117.76539502299002</v>
      </c>
      <c r="O765">
        <v>364.43311394041348</v>
      </c>
      <c r="P765">
        <v>0.22158398709150195</v>
      </c>
    </row>
    <row r="766" spans="1:16" ht="14.25" customHeight="1">
      <c r="A766" s="1" t="s">
        <v>851</v>
      </c>
      <c r="B766" s="1" t="s">
        <v>886</v>
      </c>
      <c r="C766" s="3">
        <v>44765</v>
      </c>
      <c r="D766" s="1" t="s">
        <v>900</v>
      </c>
      <c r="E766" s="1" t="s">
        <v>898</v>
      </c>
      <c r="F766" s="1">
        <v>130</v>
      </c>
      <c r="G766" s="1" t="s">
        <v>2</v>
      </c>
      <c r="H766" s="4">
        <v>7</v>
      </c>
      <c r="I766" s="5">
        <f t="shared" ca="1" si="1"/>
        <v>0.85071430836597406</v>
      </c>
      <c r="J766">
        <f ca="1">Table_3[[#This Row],[Price of One Product]]*Table_3[[#This Row],[No of Products in one Sale]]*(1-Table_3[[#This Row],[Discount]])</f>
        <v>135.84997938696361</v>
      </c>
      <c r="O766">
        <v>888.63618776070609</v>
      </c>
      <c r="P766">
        <v>0.58857062453655873</v>
      </c>
    </row>
    <row r="767" spans="1:16" ht="14.25" customHeight="1">
      <c r="A767" s="1" t="s">
        <v>852</v>
      </c>
      <c r="B767" s="1" t="s">
        <v>887</v>
      </c>
      <c r="C767" s="3">
        <v>44778</v>
      </c>
      <c r="D767" s="1" t="s">
        <v>901</v>
      </c>
      <c r="E767" s="1" t="s">
        <v>896</v>
      </c>
      <c r="F767" s="1">
        <v>60</v>
      </c>
      <c r="G767" s="1" t="s">
        <v>3</v>
      </c>
      <c r="H767" s="4">
        <v>7</v>
      </c>
      <c r="I767" s="5">
        <f t="shared" ca="1" si="1"/>
        <v>0.35499631913061014</v>
      </c>
      <c r="J767">
        <f ca="1">Table_3[[#This Row],[Price of One Product]]*Table_3[[#This Row],[No of Products in one Sale]]*(1-Table_3[[#This Row],[Discount]])</f>
        <v>270.90154596514373</v>
      </c>
      <c r="O767">
        <v>11.479340490358869</v>
      </c>
      <c r="P767">
        <v>0.5981953765267003</v>
      </c>
    </row>
    <row r="768" spans="1:16" ht="14.25" customHeight="1">
      <c r="A768" s="1" t="s">
        <v>853</v>
      </c>
      <c r="B768" s="1" t="s">
        <v>888</v>
      </c>
      <c r="C768" s="3">
        <v>44774</v>
      </c>
      <c r="D768" s="1" t="s">
        <v>902</v>
      </c>
      <c r="E768" s="1" t="s">
        <v>898</v>
      </c>
      <c r="F768" s="1">
        <v>95</v>
      </c>
      <c r="G768" s="1" t="s">
        <v>1</v>
      </c>
      <c r="H768" s="4">
        <v>7</v>
      </c>
      <c r="I768" s="5">
        <f t="shared" ca="1" si="1"/>
        <v>0.12596996145099515</v>
      </c>
      <c r="J768">
        <f ca="1">Table_3[[#This Row],[Price of One Product]]*Table_3[[#This Row],[No of Products in one Sale]]*(1-Table_3[[#This Row],[Discount]])</f>
        <v>581.22997563508818</v>
      </c>
      <c r="O768">
        <v>163.49499394162382</v>
      </c>
      <c r="P768">
        <v>0.65701531665350643</v>
      </c>
    </row>
    <row r="769" spans="1:16" ht="14.25" customHeight="1">
      <c r="A769" s="1" t="s">
        <v>854</v>
      </c>
      <c r="B769" s="1" t="s">
        <v>883</v>
      </c>
      <c r="C769" s="3">
        <v>44803</v>
      </c>
      <c r="D769" s="1" t="s">
        <v>895</v>
      </c>
      <c r="E769" s="1" t="s">
        <v>896</v>
      </c>
      <c r="F769" s="1">
        <v>72</v>
      </c>
      <c r="G769" s="1" t="s">
        <v>2</v>
      </c>
      <c r="H769" s="4">
        <v>5</v>
      </c>
      <c r="I769" s="5">
        <f t="shared" ca="1" si="1"/>
        <v>0.43830815583919547</v>
      </c>
      <c r="J769">
        <f ca="1">Table_3[[#This Row],[Price of One Product]]*Table_3[[#This Row],[No of Products in one Sale]]*(1-Table_3[[#This Row],[Discount]])</f>
        <v>202.20906389788962</v>
      </c>
      <c r="O769">
        <v>81.611062546658886</v>
      </c>
      <c r="P769">
        <v>0.94164676584436879</v>
      </c>
    </row>
    <row r="770" spans="1:16" ht="14.25" customHeight="1">
      <c r="A770" s="1" t="s">
        <v>855</v>
      </c>
      <c r="B770" s="1" t="s">
        <v>884</v>
      </c>
      <c r="C770" s="3">
        <v>44782</v>
      </c>
      <c r="D770" s="1" t="s">
        <v>897</v>
      </c>
      <c r="E770" s="1" t="s">
        <v>898</v>
      </c>
      <c r="F770" s="1">
        <v>65</v>
      </c>
      <c r="G770" s="1" t="s">
        <v>3</v>
      </c>
      <c r="H770" s="4">
        <v>6</v>
      </c>
      <c r="I770" s="5">
        <f t="shared" ca="1" si="1"/>
        <v>0.2634970122130561</v>
      </c>
      <c r="J770">
        <f ca="1">Table_3[[#This Row],[Price of One Product]]*Table_3[[#This Row],[No of Products in one Sale]]*(1-Table_3[[#This Row],[Discount]])</f>
        <v>287.23616523690811</v>
      </c>
      <c r="O770">
        <v>101.48554796496619</v>
      </c>
      <c r="P770">
        <v>0.47946228392267154</v>
      </c>
    </row>
    <row r="771" spans="1:16" ht="14.25" customHeight="1">
      <c r="A771" s="1" t="s">
        <v>856</v>
      </c>
      <c r="B771" s="1" t="s">
        <v>885</v>
      </c>
      <c r="C771" s="3">
        <v>44774</v>
      </c>
      <c r="D771" s="1" t="s">
        <v>899</v>
      </c>
      <c r="E771" s="1" t="s">
        <v>896</v>
      </c>
      <c r="F771" s="1">
        <v>250</v>
      </c>
      <c r="G771" s="1" t="s">
        <v>1</v>
      </c>
      <c r="H771" s="4">
        <v>2</v>
      </c>
      <c r="I771" s="5">
        <f t="shared" ca="1" si="1"/>
        <v>0.84805463378060542</v>
      </c>
      <c r="J771">
        <f ca="1">Table_3[[#This Row],[Price of One Product]]*Table_3[[#This Row],[No of Products in one Sale]]*(1-Table_3[[#This Row],[Discount]])</f>
        <v>75.972683109697286</v>
      </c>
      <c r="O771">
        <v>203.75822448290432</v>
      </c>
      <c r="P771">
        <v>0.84397948112771071</v>
      </c>
    </row>
    <row r="772" spans="1:16" ht="14.25" customHeight="1">
      <c r="A772" s="1" t="s">
        <v>857</v>
      </c>
      <c r="B772" s="1" t="s">
        <v>886</v>
      </c>
      <c r="C772" s="3">
        <v>44790</v>
      </c>
      <c r="D772" s="1" t="s">
        <v>900</v>
      </c>
      <c r="E772" s="1" t="s">
        <v>898</v>
      </c>
      <c r="F772" s="1">
        <v>130</v>
      </c>
      <c r="G772" s="1" t="s">
        <v>2</v>
      </c>
      <c r="H772" s="4">
        <v>2</v>
      </c>
      <c r="I772" s="5">
        <f t="shared" ca="1" si="1"/>
        <v>5.5714006790828718E-2</v>
      </c>
      <c r="J772">
        <f ca="1">Table_3[[#This Row],[Price of One Product]]*Table_3[[#This Row],[No of Products in one Sale]]*(1-Table_3[[#This Row],[Discount]])</f>
        <v>245.51435823438453</v>
      </c>
      <c r="O772">
        <v>156.56703343187232</v>
      </c>
      <c r="P772">
        <v>0.62791063683136461</v>
      </c>
    </row>
    <row r="773" spans="1:16" ht="14.25" customHeight="1">
      <c r="A773" s="1" t="s">
        <v>858</v>
      </c>
      <c r="B773" s="1" t="s">
        <v>883</v>
      </c>
      <c r="C773" s="3">
        <v>44790</v>
      </c>
      <c r="D773" s="1" t="s">
        <v>895</v>
      </c>
      <c r="E773" s="1" t="s">
        <v>896</v>
      </c>
      <c r="F773" s="1">
        <v>72</v>
      </c>
      <c r="G773" s="1" t="s">
        <v>3</v>
      </c>
      <c r="H773" s="4">
        <v>4</v>
      </c>
      <c r="I773" s="5">
        <f t="shared" ca="1" si="1"/>
        <v>0.79865987597736043</v>
      </c>
      <c r="J773">
        <f ca="1">Table_3[[#This Row],[Price of One Product]]*Table_3[[#This Row],[No of Products in one Sale]]*(1-Table_3[[#This Row],[Discount]])</f>
        <v>57.985955718520195</v>
      </c>
      <c r="O773">
        <v>247.84683958153963</v>
      </c>
      <c r="P773">
        <v>0.2892212014704808</v>
      </c>
    </row>
    <row r="774" spans="1:16" ht="14.25" customHeight="1">
      <c r="A774" s="1" t="s">
        <v>859</v>
      </c>
      <c r="B774" s="1" t="s">
        <v>884</v>
      </c>
      <c r="C774" s="3">
        <v>44757</v>
      </c>
      <c r="D774" s="1" t="s">
        <v>897</v>
      </c>
      <c r="E774" s="1" t="s">
        <v>898</v>
      </c>
      <c r="F774" s="1">
        <v>65</v>
      </c>
      <c r="G774" s="1" t="s">
        <v>1</v>
      </c>
      <c r="H774" s="4">
        <v>10</v>
      </c>
      <c r="I774" s="5">
        <f t="shared" ca="1" si="1"/>
        <v>0.65212143598664574</v>
      </c>
      <c r="J774">
        <f ca="1">Table_3[[#This Row],[Price of One Product]]*Table_3[[#This Row],[No of Products in one Sale]]*(1-Table_3[[#This Row],[Discount]])</f>
        <v>226.12106660868028</v>
      </c>
      <c r="O774">
        <v>646.06828665033311</v>
      </c>
      <c r="P774">
        <v>0.52553493237009574</v>
      </c>
    </row>
    <row r="775" spans="1:16" ht="14.25" customHeight="1">
      <c r="A775" s="1" t="s">
        <v>860</v>
      </c>
      <c r="B775" s="1" t="s">
        <v>885</v>
      </c>
      <c r="C775" s="3">
        <v>44778</v>
      </c>
      <c r="D775" s="1" t="s">
        <v>899</v>
      </c>
      <c r="E775" s="1" t="s">
        <v>896</v>
      </c>
      <c r="F775" s="1">
        <v>250</v>
      </c>
      <c r="G775" s="1" t="s">
        <v>2</v>
      </c>
      <c r="H775" s="4">
        <v>1</v>
      </c>
      <c r="I775" s="5">
        <f t="shared" ca="1" si="1"/>
        <v>0.35175163826440536</v>
      </c>
      <c r="J775">
        <f ca="1">Table_3[[#This Row],[Price of One Product]]*Table_3[[#This Row],[No of Products in one Sale]]*(1-Table_3[[#This Row],[Discount]])</f>
        <v>162.06209043389865</v>
      </c>
      <c r="O775">
        <v>49.140139456312568</v>
      </c>
      <c r="P775">
        <v>0.56999612299624247</v>
      </c>
    </row>
    <row r="776" spans="1:16" ht="14.25" customHeight="1">
      <c r="A776" s="1" t="s">
        <v>861</v>
      </c>
      <c r="B776" s="1" t="s">
        <v>886</v>
      </c>
      <c r="C776" s="3">
        <v>44795</v>
      </c>
      <c r="D776" s="1" t="s">
        <v>895</v>
      </c>
      <c r="E776" s="1" t="s">
        <v>898</v>
      </c>
      <c r="F776" s="1">
        <v>72</v>
      </c>
      <c r="G776" s="1" t="s">
        <v>3</v>
      </c>
      <c r="H776" s="4">
        <v>12</v>
      </c>
      <c r="I776" s="5">
        <f t="shared" ca="1" si="1"/>
        <v>0.36898767424327972</v>
      </c>
      <c r="J776">
        <f ca="1">Table_3[[#This Row],[Price of One Product]]*Table_3[[#This Row],[No of Products in one Sale]]*(1-Table_3[[#This Row],[Discount]])</f>
        <v>545.19464945380628</v>
      </c>
      <c r="O776">
        <v>477.07715810062774</v>
      </c>
      <c r="P776">
        <v>0.39069023453614848</v>
      </c>
    </row>
    <row r="777" spans="1:16" ht="14.25" customHeight="1">
      <c r="A777" s="1" t="s">
        <v>862</v>
      </c>
      <c r="B777" s="1" t="s">
        <v>883</v>
      </c>
      <c r="C777" s="3">
        <v>44800</v>
      </c>
      <c r="D777" s="1" t="s">
        <v>897</v>
      </c>
      <c r="E777" s="1" t="s">
        <v>896</v>
      </c>
      <c r="F777" s="1">
        <v>65</v>
      </c>
      <c r="G777" s="1" t="s">
        <v>3</v>
      </c>
      <c r="H777" s="4">
        <v>11</v>
      </c>
      <c r="I777" s="5">
        <f t="shared" ca="1" si="1"/>
        <v>0.69889723395509595</v>
      </c>
      <c r="J777">
        <f ca="1">Table_3[[#This Row],[Price of One Product]]*Table_3[[#This Row],[No of Products in one Sale]]*(1-Table_3[[#This Row],[Discount]])</f>
        <v>215.28847772210639</v>
      </c>
      <c r="O777">
        <v>657.10571416866128</v>
      </c>
      <c r="P777">
        <v>0.97845435094930377</v>
      </c>
    </row>
    <row r="778" spans="1:16" ht="14.25" customHeight="1">
      <c r="A778" s="1" t="s">
        <v>863</v>
      </c>
      <c r="B778" s="1" t="s">
        <v>884</v>
      </c>
      <c r="C778" s="3">
        <v>44783</v>
      </c>
      <c r="D778" s="1" t="s">
        <v>899</v>
      </c>
      <c r="E778" s="1" t="s">
        <v>898</v>
      </c>
      <c r="F778" s="1">
        <v>250</v>
      </c>
      <c r="G778" s="1" t="s">
        <v>1</v>
      </c>
      <c r="H778" s="4">
        <v>2</v>
      </c>
      <c r="I778" s="5">
        <f t="shared" ca="1" si="1"/>
        <v>0.36250442480542155</v>
      </c>
      <c r="J778">
        <f ca="1">Table_3[[#This Row],[Price of One Product]]*Table_3[[#This Row],[No of Products in one Sale]]*(1-Table_3[[#This Row],[Discount]])</f>
        <v>318.74778759728923</v>
      </c>
      <c r="O778">
        <v>118.27101363764919</v>
      </c>
      <c r="P778">
        <v>0.67288505063437509</v>
      </c>
    </row>
    <row r="779" spans="1:16" ht="14.25" customHeight="1">
      <c r="A779" s="1" t="s">
        <v>864</v>
      </c>
      <c r="B779" s="1" t="s">
        <v>885</v>
      </c>
      <c r="C779" s="3">
        <v>44770</v>
      </c>
      <c r="D779" s="1" t="s">
        <v>900</v>
      </c>
      <c r="E779" s="1" t="s">
        <v>898</v>
      </c>
      <c r="F779" s="1">
        <v>130</v>
      </c>
      <c r="G779" s="1" t="s">
        <v>2</v>
      </c>
      <c r="H779" s="4">
        <v>7</v>
      </c>
      <c r="I779" s="5">
        <f t="shared" ca="1" si="1"/>
        <v>9.4148404365021698E-2</v>
      </c>
      <c r="J779">
        <f ca="1">Table_3[[#This Row],[Price of One Product]]*Table_3[[#This Row],[No of Products in one Sale]]*(1-Table_3[[#This Row],[Discount]])</f>
        <v>824.32495202783025</v>
      </c>
      <c r="O779">
        <v>245.72958304238986</v>
      </c>
      <c r="P779">
        <v>0.51850379680073089</v>
      </c>
    </row>
    <row r="780" spans="1:16" ht="14.25" customHeight="1">
      <c r="A780" s="1" t="s">
        <v>865</v>
      </c>
      <c r="B780" s="1" t="s">
        <v>886</v>
      </c>
      <c r="C780" s="3">
        <v>44764</v>
      </c>
      <c r="D780" s="1" t="s">
        <v>895</v>
      </c>
      <c r="E780" s="1" t="s">
        <v>898</v>
      </c>
      <c r="F780" s="1">
        <v>72</v>
      </c>
      <c r="G780" s="1" t="s">
        <v>3</v>
      </c>
      <c r="H780" s="4">
        <v>6</v>
      </c>
      <c r="I780" s="5">
        <f t="shared" ca="1" si="1"/>
        <v>0.29584290057563423</v>
      </c>
      <c r="J780">
        <f ca="1">Table_3[[#This Row],[Price of One Product]]*Table_3[[#This Row],[No of Products in one Sale]]*(1-Table_3[[#This Row],[Discount]])</f>
        <v>304.19586695132602</v>
      </c>
      <c r="O780">
        <v>89.797224793440975</v>
      </c>
      <c r="P780">
        <v>0.88178278629889895</v>
      </c>
    </row>
    <row r="781" spans="1:16" ht="14.25" customHeight="1">
      <c r="A781" s="1" t="s">
        <v>866</v>
      </c>
      <c r="B781" s="1" t="s">
        <v>883</v>
      </c>
      <c r="C781" s="3">
        <v>44810</v>
      </c>
      <c r="D781" s="1" t="s">
        <v>897</v>
      </c>
      <c r="E781" s="1" t="s">
        <v>898</v>
      </c>
      <c r="F781" s="1">
        <v>65</v>
      </c>
      <c r="G781" s="1" t="s">
        <v>1</v>
      </c>
      <c r="H781" s="4">
        <v>4</v>
      </c>
      <c r="I781" s="5">
        <f t="shared" ca="1" si="1"/>
        <v>0.60016725923436753</v>
      </c>
      <c r="J781">
        <f ca="1">Table_3[[#This Row],[Price of One Product]]*Table_3[[#This Row],[No of Products in one Sale]]*(1-Table_3[[#This Row],[Discount]])</f>
        <v>103.95651259906444</v>
      </c>
      <c r="O781">
        <v>146.63093905330206</v>
      </c>
      <c r="P781">
        <v>0.46225489404804498</v>
      </c>
    </row>
    <row r="782" spans="1:16" ht="14.25" customHeight="1">
      <c r="A782" s="1" t="s">
        <v>867</v>
      </c>
      <c r="B782" s="1" t="s">
        <v>884</v>
      </c>
      <c r="C782" s="3">
        <v>44793</v>
      </c>
      <c r="D782" s="1" t="s">
        <v>899</v>
      </c>
      <c r="E782" s="1" t="s">
        <v>898</v>
      </c>
      <c r="F782" s="1">
        <v>250</v>
      </c>
      <c r="G782" s="1" t="s">
        <v>2</v>
      </c>
      <c r="H782" s="4">
        <v>2</v>
      </c>
      <c r="I782" s="5">
        <f t="shared" ca="1" si="1"/>
        <v>0.36473931756386491</v>
      </c>
      <c r="J782">
        <f ca="1">Table_3[[#This Row],[Price of One Product]]*Table_3[[#This Row],[No of Products in one Sale]]*(1-Table_3[[#This Row],[Discount]])</f>
        <v>317.63034121806754</v>
      </c>
      <c r="O782">
        <v>56.383442597527647</v>
      </c>
      <c r="P782">
        <v>5.6995428286775063E-2</v>
      </c>
    </row>
    <row r="783" spans="1:16" ht="14.25" customHeight="1">
      <c r="A783" s="1" t="s">
        <v>868</v>
      </c>
      <c r="B783" s="1" t="s">
        <v>885</v>
      </c>
      <c r="C783" s="3">
        <v>44787</v>
      </c>
      <c r="D783" s="1" t="s">
        <v>900</v>
      </c>
      <c r="E783" s="1" t="s">
        <v>896</v>
      </c>
      <c r="F783" s="1">
        <v>130</v>
      </c>
      <c r="G783" s="1" t="s">
        <v>3</v>
      </c>
      <c r="H783" s="4">
        <v>4</v>
      </c>
      <c r="I783" s="5">
        <f t="shared" ca="1" si="1"/>
        <v>0.80268938647498778</v>
      </c>
      <c r="J783">
        <f ca="1">Table_3[[#This Row],[Price of One Product]]*Table_3[[#This Row],[No of Products in one Sale]]*(1-Table_3[[#This Row],[Discount]])</f>
        <v>102.60151903300635</v>
      </c>
      <c r="O783">
        <v>112.15751208237981</v>
      </c>
      <c r="P783">
        <v>3.4752076692191491E-2</v>
      </c>
    </row>
    <row r="784" spans="1:16" ht="14.25" customHeight="1">
      <c r="A784" s="1" t="s">
        <v>869</v>
      </c>
      <c r="B784" s="1" t="s">
        <v>886</v>
      </c>
      <c r="C784" s="3">
        <v>44774</v>
      </c>
      <c r="D784" s="1" t="s">
        <v>901</v>
      </c>
      <c r="E784" s="1" t="s">
        <v>898</v>
      </c>
      <c r="F784" s="1">
        <v>60</v>
      </c>
      <c r="G784" s="1" t="s">
        <v>1</v>
      </c>
      <c r="H784" s="4">
        <v>8</v>
      </c>
      <c r="I784" s="5">
        <f t="shared" ca="1" si="1"/>
        <v>0.69942245608347164</v>
      </c>
      <c r="J784">
        <f ca="1">Table_3[[#This Row],[Price of One Product]]*Table_3[[#This Row],[No of Products in one Sale]]*(1-Table_3[[#This Row],[Discount]])</f>
        <v>144.27722107993361</v>
      </c>
      <c r="O784">
        <v>94.428607373025969</v>
      </c>
      <c r="P784">
        <v>2.6685717492849204E-3</v>
      </c>
    </row>
    <row r="785" spans="1:16" ht="14.25" customHeight="1">
      <c r="A785" s="1" t="s">
        <v>870</v>
      </c>
      <c r="B785" s="1" t="s">
        <v>887</v>
      </c>
      <c r="C785" s="3">
        <v>44756</v>
      </c>
      <c r="D785" s="1" t="s">
        <v>895</v>
      </c>
      <c r="E785" s="1" t="s">
        <v>896</v>
      </c>
      <c r="F785" s="1">
        <v>72</v>
      </c>
      <c r="G785" s="1" t="s">
        <v>2</v>
      </c>
      <c r="H785" s="4">
        <v>4</v>
      </c>
      <c r="I785" s="5">
        <f t="shared" ca="1" si="1"/>
        <v>0.91469792377408587</v>
      </c>
      <c r="J785">
        <f ca="1">Table_3[[#This Row],[Price of One Product]]*Table_3[[#This Row],[No of Products in one Sale]]*(1-Table_3[[#This Row],[Discount]])</f>
        <v>24.566997953063268</v>
      </c>
      <c r="O785">
        <v>190.92909458772579</v>
      </c>
      <c r="P785">
        <v>0.20534943752712631</v>
      </c>
    </row>
    <row r="786" spans="1:16" ht="14.25" customHeight="1">
      <c r="A786" s="1" t="s">
        <v>871</v>
      </c>
      <c r="B786" s="1" t="s">
        <v>883</v>
      </c>
      <c r="C786" s="3">
        <v>44810</v>
      </c>
      <c r="D786" s="1" t="s">
        <v>897</v>
      </c>
      <c r="E786" s="1" t="s">
        <v>898</v>
      </c>
      <c r="F786" s="1">
        <v>65</v>
      </c>
      <c r="G786" s="1" t="s">
        <v>3</v>
      </c>
      <c r="H786" s="4">
        <v>5</v>
      </c>
      <c r="I786" s="5">
        <f t="shared" ca="1" si="1"/>
        <v>0.46715907778326793</v>
      </c>
      <c r="J786">
        <f ca="1">Table_3[[#This Row],[Price of One Product]]*Table_3[[#This Row],[No of Products in one Sale]]*(1-Table_3[[#This Row],[Discount]])</f>
        <v>173.17329972043791</v>
      </c>
      <c r="O786">
        <v>14.012978940061465</v>
      </c>
      <c r="P786">
        <v>0.71659603449780163</v>
      </c>
    </row>
    <row r="787" spans="1:16" ht="14.25" customHeight="1">
      <c r="A787" s="1" t="s">
        <v>872</v>
      </c>
      <c r="B787" s="1" t="s">
        <v>884</v>
      </c>
      <c r="C787" s="3">
        <v>44774</v>
      </c>
      <c r="D787" s="1" t="s">
        <v>899</v>
      </c>
      <c r="E787" s="1" t="s">
        <v>896</v>
      </c>
      <c r="F787" s="1">
        <v>250</v>
      </c>
      <c r="G787" s="1" t="s">
        <v>1</v>
      </c>
      <c r="H787" s="4">
        <v>3</v>
      </c>
      <c r="I787" s="5">
        <f t="shared" ca="1" si="1"/>
        <v>0.88342712032919968</v>
      </c>
      <c r="J787">
        <f ca="1">Table_3[[#This Row],[Price of One Product]]*Table_3[[#This Row],[No of Products in one Sale]]*(1-Table_3[[#This Row],[Discount]])</f>
        <v>87.429659753100239</v>
      </c>
      <c r="O787">
        <v>306.7935078297333</v>
      </c>
      <c r="P787">
        <v>0.35402890753938354</v>
      </c>
    </row>
    <row r="788" spans="1:16" ht="14.25" customHeight="1">
      <c r="A788" s="1" t="s">
        <v>873</v>
      </c>
      <c r="B788" s="1" t="s">
        <v>885</v>
      </c>
      <c r="C788" s="3">
        <v>44804</v>
      </c>
      <c r="D788" s="1" t="s">
        <v>900</v>
      </c>
      <c r="E788" s="1" t="s">
        <v>898</v>
      </c>
      <c r="F788" s="1">
        <v>130</v>
      </c>
      <c r="G788" s="1" t="s">
        <v>2</v>
      </c>
      <c r="H788" s="4">
        <v>4</v>
      </c>
      <c r="I788" s="5">
        <f t="shared" ca="1" si="1"/>
        <v>0.27278009087675803</v>
      </c>
      <c r="J788">
        <f ca="1">Table_3[[#This Row],[Price of One Product]]*Table_3[[#This Row],[No of Products in one Sale]]*(1-Table_3[[#This Row],[Discount]])</f>
        <v>378.15435274408583</v>
      </c>
      <c r="O788">
        <v>69.637685114413273</v>
      </c>
      <c r="P788">
        <v>0.41548191199941076</v>
      </c>
    </row>
    <row r="789" spans="1:16" ht="14.25" customHeight="1">
      <c r="A789" s="1" t="s">
        <v>874</v>
      </c>
      <c r="B789" s="1" t="s">
        <v>886</v>
      </c>
      <c r="C789" s="3">
        <v>44803</v>
      </c>
      <c r="D789" s="1" t="s">
        <v>895</v>
      </c>
      <c r="E789" s="1" t="s">
        <v>896</v>
      </c>
      <c r="F789" s="1">
        <v>72</v>
      </c>
      <c r="G789" s="1" t="s">
        <v>3</v>
      </c>
      <c r="H789" s="4">
        <v>5</v>
      </c>
      <c r="I789" s="5">
        <f t="shared" ca="1" si="1"/>
        <v>6.602231826597027E-3</v>
      </c>
      <c r="J789">
        <f ca="1">Table_3[[#This Row],[Price of One Product]]*Table_3[[#This Row],[No of Products in one Sale]]*(1-Table_3[[#This Row],[Discount]])</f>
        <v>357.62319654242509</v>
      </c>
      <c r="O789">
        <v>147.27511752512052</v>
      </c>
      <c r="P789">
        <v>8.2291016167357567E-2</v>
      </c>
    </row>
    <row r="790" spans="1:16" ht="14.25" customHeight="1">
      <c r="A790" s="1" t="s">
        <v>875</v>
      </c>
      <c r="B790" s="1" t="s">
        <v>883</v>
      </c>
      <c r="C790" s="3">
        <v>44808</v>
      </c>
      <c r="D790" s="1" t="s">
        <v>897</v>
      </c>
      <c r="E790" s="1" t="s">
        <v>898</v>
      </c>
      <c r="F790" s="1">
        <v>65</v>
      </c>
      <c r="G790" s="1" t="s">
        <v>1</v>
      </c>
      <c r="H790" s="4">
        <v>7</v>
      </c>
      <c r="I790" s="5">
        <f t="shared" ca="1" si="1"/>
        <v>0.69667969381724959</v>
      </c>
      <c r="J790">
        <f ca="1">Table_3[[#This Row],[Price of One Product]]*Table_3[[#This Row],[No of Products in one Sale]]*(1-Table_3[[#This Row],[Discount]])</f>
        <v>138.01073931315145</v>
      </c>
      <c r="O790">
        <v>322.20158969714498</v>
      </c>
      <c r="P790">
        <v>0.29425900269507999</v>
      </c>
    </row>
    <row r="791" spans="1:16" ht="14.25" customHeight="1">
      <c r="A791" s="1" t="s">
        <v>876</v>
      </c>
      <c r="B791" s="1" t="s">
        <v>884</v>
      </c>
      <c r="C791" s="3">
        <v>44786</v>
      </c>
      <c r="D791" s="1" t="s">
        <v>899</v>
      </c>
      <c r="E791" s="1" t="s">
        <v>896</v>
      </c>
      <c r="F791" s="1">
        <v>250</v>
      </c>
      <c r="G791" s="1" t="s">
        <v>2</v>
      </c>
      <c r="H791" s="4">
        <v>1</v>
      </c>
      <c r="I791" s="5">
        <f t="shared" ca="1" si="1"/>
        <v>0.77678939200567876</v>
      </c>
      <c r="J791">
        <f ca="1">Table_3[[#This Row],[Price of One Product]]*Table_3[[#This Row],[No of Products in one Sale]]*(1-Table_3[[#This Row],[Discount]])</f>
        <v>55.802651998580309</v>
      </c>
      <c r="O791">
        <v>85.558002813683672</v>
      </c>
      <c r="P791">
        <v>0.72737618215980526</v>
      </c>
    </row>
    <row r="792" spans="1:16" ht="14.25" customHeight="1">
      <c r="A792" s="1" t="s">
        <v>877</v>
      </c>
      <c r="B792" s="1" t="s">
        <v>885</v>
      </c>
      <c r="C792" s="3">
        <v>44788</v>
      </c>
      <c r="D792" s="1" t="s">
        <v>900</v>
      </c>
      <c r="E792" s="1" t="s">
        <v>898</v>
      </c>
      <c r="F792" s="1">
        <v>130</v>
      </c>
      <c r="G792" s="1" t="s">
        <v>3</v>
      </c>
      <c r="H792" s="4">
        <v>6</v>
      </c>
      <c r="I792" s="5">
        <f t="shared" ca="1" si="1"/>
        <v>0.79903453104539079</v>
      </c>
      <c r="J792">
        <f ca="1">Table_3[[#This Row],[Price of One Product]]*Table_3[[#This Row],[No of Products in one Sale]]*(1-Table_3[[#This Row],[Discount]])</f>
        <v>156.75306578459518</v>
      </c>
      <c r="O792">
        <v>524.45481344295774</v>
      </c>
      <c r="P792">
        <v>0.81123209563297749</v>
      </c>
    </row>
    <row r="793" spans="1:16" ht="14.25" customHeight="1">
      <c r="A793" s="1" t="s">
        <v>878</v>
      </c>
      <c r="B793" s="1" t="s">
        <v>886</v>
      </c>
      <c r="C793" s="3">
        <v>44772</v>
      </c>
      <c r="D793" s="1" t="s">
        <v>901</v>
      </c>
      <c r="E793" s="1" t="s">
        <v>896</v>
      </c>
      <c r="F793" s="1">
        <v>60</v>
      </c>
      <c r="G793" s="1" t="s">
        <v>1</v>
      </c>
      <c r="H793" s="4">
        <v>13</v>
      </c>
      <c r="I793" s="5">
        <f t="shared" ca="1" si="1"/>
        <v>0.63911034379686049</v>
      </c>
      <c r="J793">
        <f ca="1">Table_3[[#This Row],[Price of One Product]]*Table_3[[#This Row],[No of Products in one Sale]]*(1-Table_3[[#This Row],[Discount]])</f>
        <v>281.49393183844882</v>
      </c>
      <c r="O793">
        <v>102.76213323228437</v>
      </c>
      <c r="P793">
        <v>0.64625054000101156</v>
      </c>
    </row>
    <row r="794" spans="1:16" ht="14.25" customHeight="1">
      <c r="A794" s="1" t="s">
        <v>879</v>
      </c>
      <c r="B794" s="1" t="s">
        <v>887</v>
      </c>
      <c r="C794" s="3">
        <v>44756</v>
      </c>
      <c r="D794" s="1" t="s">
        <v>902</v>
      </c>
      <c r="E794" s="1" t="s">
        <v>898</v>
      </c>
      <c r="F794" s="1">
        <v>95</v>
      </c>
      <c r="G794" s="1" t="s">
        <v>2</v>
      </c>
      <c r="H794" s="4">
        <v>6</v>
      </c>
      <c r="I794" s="5">
        <f t="shared" ca="1" si="1"/>
        <v>3.8585511611334278E-2</v>
      </c>
      <c r="J794">
        <f ca="1">Table_3[[#This Row],[Price of One Product]]*Table_3[[#This Row],[No of Products in one Sale]]*(1-Table_3[[#This Row],[Discount]])</f>
        <v>548.00625838153951</v>
      </c>
      <c r="O794">
        <v>541.37719910849921</v>
      </c>
      <c r="P794">
        <v>0.56261248039380807</v>
      </c>
    </row>
    <row r="795" spans="1:16" ht="14.25" customHeight="1">
      <c r="A795" s="1" t="s">
        <v>880</v>
      </c>
      <c r="B795" s="1" t="s">
        <v>888</v>
      </c>
      <c r="C795" s="3">
        <v>44808</v>
      </c>
      <c r="D795" s="1" t="s">
        <v>895</v>
      </c>
      <c r="E795" s="1" t="s">
        <v>896</v>
      </c>
      <c r="F795" s="1">
        <v>72</v>
      </c>
      <c r="G795" s="1" t="s">
        <v>3</v>
      </c>
      <c r="H795" s="4">
        <v>12</v>
      </c>
      <c r="I795" s="5">
        <f t="shared" ca="1" si="1"/>
        <v>0.15525393629296647</v>
      </c>
      <c r="J795">
        <f ca="1">Table_3[[#This Row],[Price of One Product]]*Table_3[[#This Row],[No of Products in one Sale]]*(1-Table_3[[#This Row],[Discount]])</f>
        <v>729.86059904287697</v>
      </c>
      <c r="O795">
        <v>414.49968334201856</v>
      </c>
      <c r="P795">
        <v>0.56108170192480267</v>
      </c>
    </row>
    <row r="796" spans="1:16" ht="14.25" customHeight="1"/>
    <row r="797" spans="1:16" ht="14.25" customHeight="1"/>
    <row r="798" spans="1:16" ht="14.25" customHeight="1"/>
    <row r="799" spans="1:16" ht="14.25" customHeight="1"/>
    <row r="800" spans="1:16"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D8DE-CE8B-0D40-9B1A-46A6CD40732D}">
  <dimension ref="A2:E96"/>
  <sheetViews>
    <sheetView workbookViewId="0">
      <selection activeCell="B7" sqref="B7"/>
    </sheetView>
  </sheetViews>
  <sheetFormatPr defaultColWidth="11.42578125" defaultRowHeight="15"/>
  <cols>
    <col min="1" max="1" width="18.140625" bestFit="1" customWidth="1"/>
    <col min="2" max="2" width="31.42578125" bestFit="1" customWidth="1"/>
    <col min="3" max="3" width="26.7109375" bestFit="1" customWidth="1"/>
    <col min="4" max="4" width="13.140625" bestFit="1" customWidth="1"/>
    <col min="5" max="5" width="15.5703125" bestFit="1" customWidth="1"/>
  </cols>
  <sheetData>
    <row r="2" spans="1:5">
      <c r="A2" s="8" t="s">
        <v>0</v>
      </c>
      <c r="B2" s="6" t="s">
        <v>908</v>
      </c>
    </row>
    <row r="3" spans="1:5">
      <c r="A3" s="9" t="s">
        <v>883</v>
      </c>
      <c r="B3" s="19">
        <v>704</v>
      </c>
      <c r="D3" s="8" t="s">
        <v>0</v>
      </c>
      <c r="E3" s="6" t="s">
        <v>909</v>
      </c>
    </row>
    <row r="4" spans="1:5">
      <c r="A4" s="10" t="s">
        <v>884</v>
      </c>
      <c r="B4" s="20">
        <v>574</v>
      </c>
      <c r="D4" s="9" t="s">
        <v>883</v>
      </c>
      <c r="E4" s="14">
        <v>27034.756550610386</v>
      </c>
    </row>
    <row r="5" spans="1:5">
      <c r="A5" s="10" t="s">
        <v>885</v>
      </c>
      <c r="B5" s="20">
        <v>227</v>
      </c>
      <c r="D5" s="10" t="s">
        <v>884</v>
      </c>
      <c r="E5" s="15">
        <v>25166.607659340036</v>
      </c>
    </row>
    <row r="6" spans="1:5">
      <c r="A6" s="10" t="s">
        <v>886</v>
      </c>
      <c r="B6" s="20">
        <v>443</v>
      </c>
      <c r="D6" s="10" t="s">
        <v>885</v>
      </c>
      <c r="E6" s="15">
        <v>24662.186146866577</v>
      </c>
    </row>
    <row r="7" spans="1:5">
      <c r="A7" s="10" t="s">
        <v>887</v>
      </c>
      <c r="B7" s="20">
        <v>375</v>
      </c>
      <c r="D7" s="10" t="s">
        <v>886</v>
      </c>
      <c r="E7" s="15">
        <v>26736.048598350149</v>
      </c>
    </row>
    <row r="8" spans="1:5">
      <c r="A8" s="10" t="s">
        <v>888</v>
      </c>
      <c r="B8" s="20">
        <v>95</v>
      </c>
      <c r="D8" s="10" t="s">
        <v>887</v>
      </c>
      <c r="E8" s="15">
        <v>13149.378721933506</v>
      </c>
    </row>
    <row r="9" spans="1:5">
      <c r="A9" s="11" t="s">
        <v>4</v>
      </c>
      <c r="B9" s="21">
        <v>2418</v>
      </c>
      <c r="D9" s="10" t="s">
        <v>888</v>
      </c>
      <c r="E9" s="15">
        <v>4312.3917098121437</v>
      </c>
    </row>
    <row r="10" spans="1:5">
      <c r="D10" s="11" t="s">
        <v>4</v>
      </c>
      <c r="E10" s="16">
        <v>121061.36938691279</v>
      </c>
    </row>
    <row r="12" spans="1:5">
      <c r="A12" s="13" t="s">
        <v>910</v>
      </c>
      <c r="B12" s="7" t="s">
        <v>911</v>
      </c>
    </row>
    <row r="14" spans="1:5">
      <c r="A14" s="8" t="s">
        <v>0</v>
      </c>
      <c r="B14" s="6" t="s">
        <v>908</v>
      </c>
      <c r="D14" s="8" t="s">
        <v>0</v>
      </c>
      <c r="E14" s="6" t="s">
        <v>909</v>
      </c>
    </row>
    <row r="15" spans="1:5">
      <c r="A15" s="9" t="s">
        <v>5</v>
      </c>
      <c r="B15" s="19">
        <v>42</v>
      </c>
      <c r="D15" s="9" t="s">
        <v>5</v>
      </c>
      <c r="E15" s="19">
        <v>2782.9365615999282</v>
      </c>
    </row>
    <row r="16" spans="1:5">
      <c r="A16" s="9" t="s">
        <v>6</v>
      </c>
      <c r="B16" s="19">
        <v>18</v>
      </c>
      <c r="D16" s="9" t="s">
        <v>6</v>
      </c>
      <c r="E16" s="19">
        <v>1222.6346968938092</v>
      </c>
    </row>
    <row r="17" spans="1:5">
      <c r="A17" s="9" t="s">
        <v>7</v>
      </c>
      <c r="B17" s="19">
        <v>46</v>
      </c>
      <c r="D17" s="9" t="s">
        <v>7</v>
      </c>
      <c r="E17" s="19">
        <v>2226.4417643646593</v>
      </c>
    </row>
    <row r="18" spans="1:5">
      <c r="A18" s="9" t="s">
        <v>8</v>
      </c>
      <c r="B18" s="19">
        <v>22</v>
      </c>
      <c r="D18" s="9" t="s">
        <v>8</v>
      </c>
      <c r="E18" s="19">
        <v>1501.0413062449559</v>
      </c>
    </row>
    <row r="19" spans="1:5">
      <c r="A19" s="9" t="s">
        <v>9</v>
      </c>
      <c r="B19" s="19">
        <v>45</v>
      </c>
      <c r="D19" s="9" t="s">
        <v>9</v>
      </c>
      <c r="E19" s="19">
        <v>2523.537671943935</v>
      </c>
    </row>
    <row r="20" spans="1:5">
      <c r="A20" s="9" t="s">
        <v>10</v>
      </c>
      <c r="B20" s="19">
        <v>38</v>
      </c>
      <c r="D20" s="9" t="s">
        <v>10</v>
      </c>
      <c r="E20" s="19">
        <v>2241.4921953771359</v>
      </c>
    </row>
    <row r="21" spans="1:5">
      <c r="A21" s="9" t="s">
        <v>11</v>
      </c>
      <c r="B21" s="19">
        <v>55</v>
      </c>
      <c r="D21" s="9" t="s">
        <v>11</v>
      </c>
      <c r="E21" s="19">
        <v>2137.6204128679269</v>
      </c>
    </row>
    <row r="22" spans="1:5">
      <c r="A22" s="9" t="s">
        <v>12</v>
      </c>
      <c r="B22" s="19">
        <v>21</v>
      </c>
      <c r="D22" s="9" t="s">
        <v>12</v>
      </c>
      <c r="E22" s="19">
        <v>1802.3216753792221</v>
      </c>
    </row>
    <row r="23" spans="1:5">
      <c r="A23" s="9" t="s">
        <v>13</v>
      </c>
      <c r="B23" s="19">
        <v>26</v>
      </c>
      <c r="D23" s="9" t="s">
        <v>13</v>
      </c>
      <c r="E23" s="19">
        <v>1844.3607309886615</v>
      </c>
    </row>
    <row r="24" spans="1:5">
      <c r="A24" s="9" t="s">
        <v>14</v>
      </c>
      <c r="B24" s="19">
        <v>128</v>
      </c>
      <c r="D24" s="9" t="s">
        <v>14</v>
      </c>
      <c r="E24" s="19">
        <v>7984.2590345268572</v>
      </c>
    </row>
    <row r="25" spans="1:5">
      <c r="A25" s="9" t="s">
        <v>15</v>
      </c>
      <c r="B25" s="19">
        <v>102</v>
      </c>
      <c r="D25" s="9" t="s">
        <v>15</v>
      </c>
      <c r="E25" s="19">
        <v>4464.4641828994372</v>
      </c>
    </row>
    <row r="26" spans="1:5">
      <c r="A26" s="9" t="s">
        <v>16</v>
      </c>
      <c r="B26" s="19">
        <v>26</v>
      </c>
      <c r="D26" s="9" t="s">
        <v>16</v>
      </c>
      <c r="E26" s="19">
        <v>1505.2367194884569</v>
      </c>
    </row>
    <row r="27" spans="1:5">
      <c r="A27" s="9" t="s">
        <v>17</v>
      </c>
      <c r="B27" s="19">
        <v>68</v>
      </c>
      <c r="D27" s="9" t="s">
        <v>17</v>
      </c>
      <c r="E27" s="19">
        <v>4677.8009288183739</v>
      </c>
    </row>
    <row r="28" spans="1:5">
      <c r="A28" s="9" t="s">
        <v>18</v>
      </c>
      <c r="B28" s="19">
        <v>70</v>
      </c>
      <c r="D28" s="9" t="s">
        <v>18</v>
      </c>
      <c r="E28" s="19">
        <v>4683.8273777335271</v>
      </c>
    </row>
    <row r="29" spans="1:5">
      <c r="A29" s="9" t="s">
        <v>19</v>
      </c>
      <c r="B29" s="19">
        <v>37</v>
      </c>
      <c r="D29" s="9" t="s">
        <v>19</v>
      </c>
      <c r="E29" s="19">
        <v>1620.1467752619708</v>
      </c>
    </row>
    <row r="30" spans="1:5">
      <c r="A30" s="9" t="s">
        <v>20</v>
      </c>
      <c r="B30" s="19">
        <v>64</v>
      </c>
      <c r="D30" s="9" t="s">
        <v>20</v>
      </c>
      <c r="E30" s="19">
        <v>3718.7008312083485</v>
      </c>
    </row>
    <row r="31" spans="1:5">
      <c r="A31" s="9" t="s">
        <v>21</v>
      </c>
      <c r="B31" s="19">
        <v>49</v>
      </c>
      <c r="D31" s="9" t="s">
        <v>21</v>
      </c>
      <c r="E31" s="19">
        <v>1651.7869291675743</v>
      </c>
    </row>
    <row r="32" spans="1:5">
      <c r="A32" s="9" t="s">
        <v>22</v>
      </c>
      <c r="B32" s="19">
        <v>23</v>
      </c>
      <c r="D32" s="9" t="s">
        <v>22</v>
      </c>
      <c r="E32" s="19">
        <v>1204.3707242826163</v>
      </c>
    </row>
    <row r="33" spans="1:5">
      <c r="A33" s="9" t="s">
        <v>23</v>
      </c>
      <c r="B33" s="19">
        <v>35</v>
      </c>
      <c r="D33" s="9" t="s">
        <v>23</v>
      </c>
      <c r="E33" s="19">
        <v>1734.7947819760786</v>
      </c>
    </row>
    <row r="34" spans="1:5">
      <c r="A34" s="9" t="s">
        <v>24</v>
      </c>
      <c r="B34" s="19">
        <v>13</v>
      </c>
      <c r="D34" s="9" t="s">
        <v>24</v>
      </c>
      <c r="E34" s="19">
        <v>499.96848017302761</v>
      </c>
    </row>
    <row r="35" spans="1:5">
      <c r="A35" s="9" t="s">
        <v>25</v>
      </c>
      <c r="B35" s="19">
        <v>53</v>
      </c>
      <c r="D35" s="9" t="s">
        <v>25</v>
      </c>
      <c r="E35" s="19">
        <v>3166.9471440296502</v>
      </c>
    </row>
    <row r="36" spans="1:5">
      <c r="A36" s="9" t="s">
        <v>26</v>
      </c>
      <c r="B36" s="19">
        <v>19</v>
      </c>
      <c r="D36" s="9" t="s">
        <v>26</v>
      </c>
      <c r="E36" s="19">
        <v>1224.1932320491082</v>
      </c>
    </row>
    <row r="37" spans="1:5">
      <c r="A37" s="9" t="s">
        <v>27</v>
      </c>
      <c r="B37" s="19">
        <v>45</v>
      </c>
      <c r="D37" s="9" t="s">
        <v>27</v>
      </c>
      <c r="E37" s="19">
        <v>1563.3930659633875</v>
      </c>
    </row>
    <row r="38" spans="1:5">
      <c r="A38" s="9" t="s">
        <v>28</v>
      </c>
      <c r="B38" s="19">
        <v>21</v>
      </c>
      <c r="D38" s="9" t="s">
        <v>28</v>
      </c>
      <c r="E38" s="19">
        <v>1812.754337285174</v>
      </c>
    </row>
    <row r="39" spans="1:5">
      <c r="A39" s="9" t="s">
        <v>29</v>
      </c>
      <c r="B39" s="19">
        <v>26</v>
      </c>
      <c r="D39" s="9" t="s">
        <v>29</v>
      </c>
      <c r="E39" s="19">
        <v>1568.5627080349695</v>
      </c>
    </row>
    <row r="40" spans="1:5">
      <c r="A40" s="9" t="s">
        <v>30</v>
      </c>
      <c r="B40" s="19">
        <v>54</v>
      </c>
      <c r="D40" s="9" t="s">
        <v>30</v>
      </c>
      <c r="E40" s="19">
        <v>1956.2864769175651</v>
      </c>
    </row>
    <row r="41" spans="1:5">
      <c r="A41" s="9" t="s">
        <v>31</v>
      </c>
      <c r="B41" s="19">
        <v>59</v>
      </c>
      <c r="D41" s="9" t="s">
        <v>31</v>
      </c>
      <c r="E41" s="19">
        <v>4278.6459912687615</v>
      </c>
    </row>
    <row r="42" spans="1:5">
      <c r="A42" s="9" t="s">
        <v>32</v>
      </c>
      <c r="B42" s="19">
        <v>38</v>
      </c>
      <c r="D42" s="9" t="s">
        <v>32</v>
      </c>
      <c r="E42" s="19">
        <v>1727.2941319600066</v>
      </c>
    </row>
    <row r="43" spans="1:5">
      <c r="A43" s="9" t="s">
        <v>33</v>
      </c>
      <c r="B43" s="19">
        <v>39</v>
      </c>
      <c r="D43" s="9" t="s">
        <v>33</v>
      </c>
      <c r="E43" s="19">
        <v>1510.8080961590804</v>
      </c>
    </row>
    <row r="44" spans="1:5">
      <c r="A44" s="9" t="s">
        <v>34</v>
      </c>
      <c r="B44" s="19">
        <v>53</v>
      </c>
      <c r="D44" s="9" t="s">
        <v>34</v>
      </c>
      <c r="E44" s="19">
        <v>2608.8224479261908</v>
      </c>
    </row>
    <row r="45" spans="1:5">
      <c r="A45" s="9" t="s">
        <v>35</v>
      </c>
      <c r="B45" s="19">
        <v>31</v>
      </c>
      <c r="D45" s="9" t="s">
        <v>35</v>
      </c>
      <c r="E45" s="19">
        <v>999.0359719487941</v>
      </c>
    </row>
    <row r="46" spans="1:5">
      <c r="A46" s="9" t="s">
        <v>36</v>
      </c>
      <c r="B46" s="19">
        <v>22</v>
      </c>
      <c r="D46" s="9" t="s">
        <v>36</v>
      </c>
      <c r="E46" s="19">
        <v>935.9839838318253</v>
      </c>
    </row>
    <row r="47" spans="1:5">
      <c r="A47" s="9" t="s">
        <v>37</v>
      </c>
      <c r="B47" s="19">
        <v>50</v>
      </c>
      <c r="D47" s="9" t="s">
        <v>37</v>
      </c>
      <c r="E47" s="19">
        <v>2624.6453382218333</v>
      </c>
    </row>
    <row r="48" spans="1:5">
      <c r="A48" s="9" t="s">
        <v>38</v>
      </c>
      <c r="B48" s="19">
        <v>36</v>
      </c>
      <c r="D48" s="9" t="s">
        <v>38</v>
      </c>
      <c r="E48" s="19">
        <v>1187.2832708873279</v>
      </c>
    </row>
    <row r="49" spans="1:5">
      <c r="A49" s="9" t="s">
        <v>39</v>
      </c>
      <c r="B49" s="19">
        <v>32</v>
      </c>
      <c r="D49" s="9" t="s">
        <v>39</v>
      </c>
      <c r="E49" s="19">
        <v>1124.425226287588</v>
      </c>
    </row>
    <row r="50" spans="1:5">
      <c r="A50" s="9" t="s">
        <v>40</v>
      </c>
      <c r="B50" s="19">
        <v>40</v>
      </c>
      <c r="D50" s="9" t="s">
        <v>40</v>
      </c>
      <c r="E50" s="19">
        <v>2153.6679021335995</v>
      </c>
    </row>
    <row r="51" spans="1:5">
      <c r="A51" s="9" t="s">
        <v>41</v>
      </c>
      <c r="B51" s="19">
        <v>52</v>
      </c>
      <c r="D51" s="9" t="s">
        <v>41</v>
      </c>
      <c r="E51" s="19">
        <v>1167.7104076671576</v>
      </c>
    </row>
    <row r="52" spans="1:5">
      <c r="A52" s="9" t="s">
        <v>42</v>
      </c>
      <c r="B52" s="19">
        <v>46</v>
      </c>
      <c r="D52" s="9" t="s">
        <v>42</v>
      </c>
      <c r="E52" s="19">
        <v>1949.2389856446566</v>
      </c>
    </row>
    <row r="53" spans="1:5">
      <c r="A53" s="9" t="s">
        <v>43</v>
      </c>
      <c r="B53" s="19">
        <v>9</v>
      </c>
      <c r="D53" s="9" t="s">
        <v>43</v>
      </c>
      <c r="E53" s="19">
        <v>994.89696643157231</v>
      </c>
    </row>
    <row r="54" spans="1:5">
      <c r="A54" s="9" t="s">
        <v>44</v>
      </c>
      <c r="B54" s="19">
        <v>20</v>
      </c>
      <c r="D54" s="9" t="s">
        <v>44</v>
      </c>
      <c r="E54" s="19">
        <v>1041.4370094000838</v>
      </c>
    </row>
    <row r="55" spans="1:5">
      <c r="A55" s="9" t="s">
        <v>45</v>
      </c>
      <c r="B55" s="19">
        <v>16</v>
      </c>
      <c r="D55" s="9" t="s">
        <v>45</v>
      </c>
      <c r="E55" s="19">
        <v>40.170167939573354</v>
      </c>
    </row>
    <row r="56" spans="1:5">
      <c r="A56" s="9" t="s">
        <v>46</v>
      </c>
      <c r="B56" s="19">
        <v>46</v>
      </c>
      <c r="D56" s="9" t="s">
        <v>46</v>
      </c>
      <c r="E56" s="19">
        <v>2634.194192701329</v>
      </c>
    </row>
    <row r="57" spans="1:5">
      <c r="A57" s="9" t="s">
        <v>47</v>
      </c>
      <c r="B57" s="19">
        <v>22</v>
      </c>
      <c r="D57" s="9" t="s">
        <v>47</v>
      </c>
      <c r="E57" s="19">
        <v>604.5095359822509</v>
      </c>
    </row>
    <row r="58" spans="1:5">
      <c r="A58" s="9" t="s">
        <v>48</v>
      </c>
      <c r="B58" s="19">
        <v>30</v>
      </c>
      <c r="D58" s="9" t="s">
        <v>48</v>
      </c>
      <c r="E58" s="19">
        <v>1725.3612168945333</v>
      </c>
    </row>
    <row r="59" spans="1:5">
      <c r="A59" s="9" t="s">
        <v>49</v>
      </c>
      <c r="B59" s="19">
        <v>28</v>
      </c>
      <c r="D59" s="9" t="s">
        <v>49</v>
      </c>
      <c r="E59" s="19">
        <v>822.36247822207531</v>
      </c>
    </row>
    <row r="60" spans="1:5">
      <c r="A60" s="9" t="s">
        <v>50</v>
      </c>
      <c r="B60" s="19">
        <v>9</v>
      </c>
      <c r="D60" s="9" t="s">
        <v>50</v>
      </c>
      <c r="E60" s="19">
        <v>442.44800275366674</v>
      </c>
    </row>
    <row r="61" spans="1:5">
      <c r="A61" s="9" t="s">
        <v>51</v>
      </c>
      <c r="B61" s="19">
        <v>18</v>
      </c>
      <c r="D61" s="9" t="s">
        <v>51</v>
      </c>
      <c r="E61" s="19">
        <v>1356.6628350401877</v>
      </c>
    </row>
    <row r="62" spans="1:5">
      <c r="A62" s="9" t="s">
        <v>52</v>
      </c>
      <c r="B62" s="19">
        <v>18</v>
      </c>
      <c r="D62" s="9" t="s">
        <v>52</v>
      </c>
      <c r="E62" s="19">
        <v>978.65948620999256</v>
      </c>
    </row>
    <row r="63" spans="1:5">
      <c r="A63" s="9" t="s">
        <v>53</v>
      </c>
      <c r="B63" s="19">
        <v>16</v>
      </c>
      <c r="D63" s="9" t="s">
        <v>53</v>
      </c>
      <c r="E63" s="19">
        <v>597.11882004476877</v>
      </c>
    </row>
    <row r="64" spans="1:5">
      <c r="A64" s="9" t="s">
        <v>54</v>
      </c>
      <c r="B64" s="19">
        <v>7</v>
      </c>
      <c r="D64" s="9" t="s">
        <v>54</v>
      </c>
      <c r="E64" s="19">
        <v>500.49614875546627</v>
      </c>
    </row>
    <row r="65" spans="1:5">
      <c r="A65" s="9" t="s">
        <v>55</v>
      </c>
      <c r="B65" s="19">
        <v>8</v>
      </c>
      <c r="D65" s="9" t="s">
        <v>55</v>
      </c>
      <c r="E65" s="19">
        <v>142.43216080999892</v>
      </c>
    </row>
    <row r="66" spans="1:5">
      <c r="A66" s="9" t="s">
        <v>56</v>
      </c>
      <c r="B66" s="19">
        <v>9</v>
      </c>
      <c r="D66" s="9" t="s">
        <v>56</v>
      </c>
      <c r="E66" s="19">
        <v>307.08330520821147</v>
      </c>
    </row>
    <row r="67" spans="1:5">
      <c r="A67" s="9" t="s">
        <v>57</v>
      </c>
      <c r="B67" s="19">
        <v>10</v>
      </c>
      <c r="D67" s="9" t="s">
        <v>57</v>
      </c>
      <c r="E67" s="19">
        <v>341.94019965579741</v>
      </c>
    </row>
    <row r="68" spans="1:5">
      <c r="A68" s="9" t="s">
        <v>58</v>
      </c>
      <c r="B68" s="19">
        <v>6</v>
      </c>
      <c r="D68" s="9" t="s">
        <v>58</v>
      </c>
      <c r="E68" s="19">
        <v>650.71353880995616</v>
      </c>
    </row>
    <row r="69" spans="1:5">
      <c r="A69" s="9" t="s">
        <v>59</v>
      </c>
      <c r="B69" s="19">
        <v>16</v>
      </c>
      <c r="D69" s="9" t="s">
        <v>59</v>
      </c>
      <c r="E69" s="19">
        <v>1510.316465561184</v>
      </c>
    </row>
    <row r="70" spans="1:5">
      <c r="A70" s="9" t="s">
        <v>60</v>
      </c>
      <c r="B70" s="19">
        <v>6</v>
      </c>
      <c r="D70" s="9" t="s">
        <v>60</v>
      </c>
      <c r="E70" s="19">
        <v>578.09850631176926</v>
      </c>
    </row>
    <row r="71" spans="1:5">
      <c r="A71" s="9" t="s">
        <v>61</v>
      </c>
      <c r="B71" s="19">
        <v>2</v>
      </c>
      <c r="D71" s="9" t="s">
        <v>61</v>
      </c>
      <c r="E71" s="19">
        <v>251.52226173083369</v>
      </c>
    </row>
    <row r="72" spans="1:5">
      <c r="A72" s="9" t="s">
        <v>62</v>
      </c>
      <c r="B72" s="19">
        <v>6</v>
      </c>
      <c r="D72" s="9" t="s">
        <v>62</v>
      </c>
      <c r="E72" s="19">
        <v>374.99474906051506</v>
      </c>
    </row>
    <row r="73" spans="1:5">
      <c r="A73" s="9" t="s">
        <v>63</v>
      </c>
      <c r="B73" s="19">
        <v>4</v>
      </c>
      <c r="D73" s="9" t="s">
        <v>63</v>
      </c>
      <c r="E73" s="19">
        <v>643.10139221838415</v>
      </c>
    </row>
    <row r="74" spans="1:5">
      <c r="A74" s="9" t="s">
        <v>64</v>
      </c>
      <c r="B74" s="19">
        <v>20</v>
      </c>
      <c r="D74" s="9" t="s">
        <v>64</v>
      </c>
      <c r="E74" s="19">
        <v>1125.3601405353338</v>
      </c>
    </row>
    <row r="75" spans="1:5">
      <c r="A75" s="9" t="s">
        <v>65</v>
      </c>
      <c r="B75" s="19">
        <v>10</v>
      </c>
      <c r="D75" s="9" t="s">
        <v>65</v>
      </c>
      <c r="E75" s="19">
        <v>355.26504525700574</v>
      </c>
    </row>
    <row r="76" spans="1:5">
      <c r="A76" s="9" t="s">
        <v>66</v>
      </c>
      <c r="B76" s="19">
        <v>17</v>
      </c>
      <c r="D76" s="9" t="s">
        <v>66</v>
      </c>
      <c r="E76" s="19">
        <v>764.31910492510178</v>
      </c>
    </row>
    <row r="77" spans="1:5">
      <c r="A77" s="9" t="s">
        <v>67</v>
      </c>
      <c r="B77" s="19">
        <v>16</v>
      </c>
      <c r="D77" s="9" t="s">
        <v>67</v>
      </c>
      <c r="E77" s="19">
        <v>136.7370187796609</v>
      </c>
    </row>
    <row r="78" spans="1:5">
      <c r="A78" s="9" t="s">
        <v>68</v>
      </c>
      <c r="B78" s="19">
        <v>35</v>
      </c>
      <c r="D78" s="9" t="s">
        <v>68</v>
      </c>
      <c r="E78" s="19">
        <v>1219.2026489587327</v>
      </c>
    </row>
    <row r="79" spans="1:5">
      <c r="A79" s="9" t="s">
        <v>69</v>
      </c>
      <c r="B79" s="19">
        <v>12</v>
      </c>
      <c r="D79" s="9" t="s">
        <v>69</v>
      </c>
      <c r="E79" s="19">
        <v>1218.9025436994264</v>
      </c>
    </row>
    <row r="80" spans="1:5">
      <c r="A80" s="9" t="s">
        <v>70</v>
      </c>
      <c r="B80" s="19">
        <v>31</v>
      </c>
      <c r="D80" s="9" t="s">
        <v>70</v>
      </c>
      <c r="E80" s="19">
        <v>1582.8696625386608</v>
      </c>
    </row>
    <row r="81" spans="1:5">
      <c r="A81" s="9" t="s">
        <v>71</v>
      </c>
      <c r="B81" s="19">
        <v>36</v>
      </c>
      <c r="D81" s="9" t="s">
        <v>71</v>
      </c>
      <c r="E81" s="19">
        <v>2221.0717863475488</v>
      </c>
    </row>
    <row r="82" spans="1:5">
      <c r="A82" s="9" t="s">
        <v>72</v>
      </c>
      <c r="B82" s="19">
        <v>15</v>
      </c>
      <c r="D82" s="9" t="s">
        <v>72</v>
      </c>
      <c r="E82" s="19">
        <v>319.86462280667075</v>
      </c>
    </row>
    <row r="83" spans="1:5">
      <c r="A83" s="9" t="s">
        <v>73</v>
      </c>
      <c r="B83" s="19">
        <v>6</v>
      </c>
      <c r="D83" s="9" t="s">
        <v>73</v>
      </c>
      <c r="E83" s="19">
        <v>582.5452896377634</v>
      </c>
    </row>
    <row r="84" spans="1:5">
      <c r="A84" s="9" t="s">
        <v>74</v>
      </c>
      <c r="B84" s="19">
        <v>3</v>
      </c>
      <c r="D84" s="9" t="s">
        <v>74</v>
      </c>
      <c r="E84" s="19">
        <v>451.62780422720385</v>
      </c>
    </row>
    <row r="85" spans="1:5">
      <c r="A85" s="9" t="s">
        <v>75</v>
      </c>
      <c r="B85" s="19">
        <v>25</v>
      </c>
      <c r="D85" s="9" t="s">
        <v>75</v>
      </c>
      <c r="E85" s="19">
        <v>700.76540647086654</v>
      </c>
    </row>
    <row r="86" spans="1:5">
      <c r="A86" s="9" t="s">
        <v>76</v>
      </c>
      <c r="B86" s="19">
        <v>27</v>
      </c>
      <c r="D86" s="9" t="s">
        <v>76</v>
      </c>
      <c r="E86" s="19">
        <v>871.55024915194826</v>
      </c>
    </row>
    <row r="87" spans="1:5">
      <c r="A87" s="9" t="s">
        <v>77</v>
      </c>
      <c r="B87" s="19">
        <v>61</v>
      </c>
      <c r="D87" s="9" t="s">
        <v>77</v>
      </c>
      <c r="E87" s="19">
        <v>1668.0360594642766</v>
      </c>
    </row>
    <row r="88" spans="1:5">
      <c r="A88" s="9" t="s">
        <v>78</v>
      </c>
      <c r="B88" s="19">
        <v>22</v>
      </c>
      <c r="D88" s="9" t="s">
        <v>78</v>
      </c>
      <c r="E88" s="19">
        <v>702.90108738568597</v>
      </c>
    </row>
    <row r="89" spans="1:5">
      <c r="A89" s="9" t="s">
        <v>79</v>
      </c>
      <c r="B89" s="19">
        <v>25</v>
      </c>
      <c r="D89" s="9" t="s">
        <v>79</v>
      </c>
      <c r="E89" s="19">
        <v>770.8427540373973</v>
      </c>
    </row>
    <row r="90" spans="1:5">
      <c r="A90" s="9" t="s">
        <v>80</v>
      </c>
      <c r="B90" s="19">
        <v>23</v>
      </c>
      <c r="D90" s="9" t="s">
        <v>80</v>
      </c>
      <c r="E90" s="19">
        <v>789.52467894189408</v>
      </c>
    </row>
    <row r="91" spans="1:5">
      <c r="A91" s="9" t="s">
        <v>81</v>
      </c>
      <c r="B91" s="19">
        <v>8</v>
      </c>
      <c r="D91" s="9" t="s">
        <v>81</v>
      </c>
      <c r="E91" s="19">
        <v>158.19545915818915</v>
      </c>
    </row>
    <row r="92" spans="1:5">
      <c r="A92" s="9" t="s">
        <v>82</v>
      </c>
      <c r="B92" s="19">
        <v>12</v>
      </c>
      <c r="D92" s="9" t="s">
        <v>82</v>
      </c>
      <c r="E92" s="19">
        <v>984.78964020021454</v>
      </c>
    </row>
    <row r="93" spans="1:5">
      <c r="A93" s="9" t="s">
        <v>83</v>
      </c>
      <c r="B93" s="19">
        <v>11</v>
      </c>
      <c r="D93" s="9" t="s">
        <v>83</v>
      </c>
      <c r="E93" s="19">
        <v>227.97303260308195</v>
      </c>
    </row>
    <row r="94" spans="1:5">
      <c r="A94" s="9" t="s">
        <v>84</v>
      </c>
      <c r="B94" s="19">
        <v>29</v>
      </c>
      <c r="D94" s="9" t="s">
        <v>84</v>
      </c>
      <c r="E94" s="19">
        <v>1067.931219295855</v>
      </c>
    </row>
    <row r="95" spans="1:5">
      <c r="A95" s="9" t="s">
        <v>85</v>
      </c>
      <c r="B95" s="19">
        <v>24</v>
      </c>
      <c r="D95" s="9" t="s">
        <v>85</v>
      </c>
      <c r="E95" s="19">
        <v>1015.1321933349536</v>
      </c>
    </row>
    <row r="96" spans="1:5">
      <c r="A96" s="11" t="s">
        <v>4</v>
      </c>
      <c r="B96" s="21">
        <v>2418</v>
      </c>
      <c r="D96" s="11" t="s">
        <v>4</v>
      </c>
      <c r="E96" s="21">
        <v>121061.36938691273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BA6C-B7FF-184E-9716-588B3E7B9B38}">
  <dimension ref="G3:Q13"/>
  <sheetViews>
    <sheetView showGridLines="0" showRowColHeaders="0" tabSelected="1" zoomScale="70" zoomScaleNormal="70" workbookViewId="0">
      <selection activeCell="R18" sqref="R18"/>
    </sheetView>
  </sheetViews>
  <sheetFormatPr defaultColWidth="10.85546875" defaultRowHeight="15"/>
  <cols>
    <col min="1" max="15" width="10.85546875" style="12"/>
    <col min="16" max="16" width="13.85546875" style="12" bestFit="1" customWidth="1"/>
    <col min="17" max="17" width="12.28515625" style="12" bestFit="1" customWidth="1"/>
    <col min="18" max="16384" width="10.85546875" style="12"/>
  </cols>
  <sheetData>
    <row r="3" spans="7:17">
      <c r="G3" s="17" t="s">
        <v>912</v>
      </c>
      <c r="H3" s="18"/>
      <c r="I3" s="18"/>
      <c r="J3" s="18"/>
      <c r="K3" s="18"/>
      <c r="L3" s="18"/>
      <c r="M3" s="18"/>
      <c r="N3" s="18"/>
      <c r="O3" s="18"/>
    </row>
    <row r="4" spans="7:17">
      <c r="G4" s="18"/>
      <c r="H4" s="18"/>
      <c r="I4" s="18"/>
      <c r="J4" s="18"/>
      <c r="K4" s="18"/>
      <c r="L4" s="18"/>
      <c r="M4" s="18"/>
      <c r="N4" s="18"/>
      <c r="O4" s="18"/>
    </row>
    <row r="5" spans="7:17">
      <c r="G5" s="18"/>
      <c r="H5" s="18"/>
      <c r="I5" s="18"/>
      <c r="J5" s="18"/>
      <c r="K5" s="18"/>
      <c r="L5" s="18"/>
      <c r="M5" s="18"/>
      <c r="N5" s="18"/>
      <c r="O5" s="18"/>
    </row>
    <row r="6" spans="7:17">
      <c r="G6" s="18"/>
      <c r="H6" s="18"/>
      <c r="I6" s="18"/>
      <c r="J6" s="18"/>
      <c r="K6" s="18"/>
      <c r="L6" s="18"/>
      <c r="M6" s="18"/>
      <c r="N6" s="18"/>
      <c r="O6" s="18"/>
    </row>
    <row r="10" spans="7:17">
      <c r="P10" s="12" t="s">
        <v>907</v>
      </c>
      <c r="Q10" s="12">
        <v>795</v>
      </c>
    </row>
    <row r="11" spans="7:17">
      <c r="P11" s="12" t="s">
        <v>904</v>
      </c>
      <c r="Q11" s="12">
        <v>236406.39008288749</v>
      </c>
    </row>
    <row r="12" spans="7:17">
      <c r="P12" s="12" t="s">
        <v>913</v>
      </c>
      <c r="Q12" s="12">
        <v>297.7410454444427</v>
      </c>
    </row>
    <row r="13" spans="7:17">
      <c r="P13" s="12" t="s">
        <v>914</v>
      </c>
      <c r="Q13" s="12">
        <v>0.45488455539120404</v>
      </c>
    </row>
  </sheetData>
  <mergeCells count="1">
    <mergeCell ref="G3: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Orders Answers</vt:lpstr>
      <vt:lpstr>Orders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dc:creator>
  <cp:lastModifiedBy>Sanjay Yadav</cp:lastModifiedBy>
  <dcterms:created xsi:type="dcterms:W3CDTF">2026-07-20T08:26:23Z</dcterms:created>
  <dcterms:modified xsi:type="dcterms:W3CDTF">2026-07-23T12:08:27Z</dcterms:modified>
</cp:coreProperties>
</file>